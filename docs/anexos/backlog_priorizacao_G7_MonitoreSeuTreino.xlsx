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  <sheet state="visible" name="André" sheetId="2" r:id="rId5"/>
    <sheet state="visible" name="Daniel" sheetId="3" r:id="rId6"/>
    <sheet state="visible" name="Eduardo" sheetId="4" r:id="rId7"/>
    <sheet state="visible" name="Eduardo1" sheetId="5" r:id="rId8"/>
    <sheet state="visible" name="Giovanni" sheetId="6" r:id="rId9"/>
    <sheet state="visible" name="João" sheetId="7" r:id="rId10"/>
    <sheet state="visible" name="José" sheetId="8" r:id="rId11"/>
    <sheet state="visible" name="Lucas" sheetId="9" r:id="rId12"/>
    <sheet state="visible" name="Samuel" sheetId="10" r:id="rId13"/>
    <sheet state="visible" name="Mateus" sheetId="11" r:id="rId14"/>
  </sheets>
  <definedNames/>
  <calcPr/>
  <extLst>
    <ext uri="GoogleSheetsCustomDataVersion2">
      <go:sheetsCustomData xmlns:go="http://customooxmlschemas.google.com/" r:id="rId15" roundtripDataChecksum="HeSs9QxuRjgKVgdOC3v6vjqdGxluIaZ6BrhAaBA7TxE="/>
    </ext>
  </extLst>
</workbook>
</file>

<file path=xl/sharedStrings.xml><?xml version="1.0" encoding="utf-8"?>
<sst xmlns="http://schemas.openxmlformats.org/spreadsheetml/2006/main" count="1352" uniqueCount="136">
  <si>
    <t>Backlog do Produto — Priorização Consolidada</t>
  </si>
  <si>
    <t>A Média do Índice é calculada automaticamente a partir das avaliações individuais de cada membro. A Prioridade MoSCoW é atribuída com base nessa média.</t>
  </si>
  <si>
    <t>Código</t>
  </si>
  <si>
    <t>Item do Backlog</t>
  </si>
  <si>
    <t>RF</t>
  </si>
  <si>
    <t>Média do Índice</t>
  </si>
  <si>
    <t>Prioridade (MoSCoW)</t>
  </si>
  <si>
    <t>E01</t>
  </si>
  <si>
    <t>Gestão de Conta e Perfil</t>
  </si>
  <si>
    <t>F01</t>
  </si>
  <si>
    <t>Cadastro e Autenticação</t>
  </si>
  <si>
    <t>US01</t>
  </si>
  <si>
    <t>Criar conta com nome, e-mail e senha</t>
  </si>
  <si>
    <t>RF01</t>
  </si>
  <si>
    <t>US02</t>
  </si>
  <si>
    <t>Realizar login com e-mail e senha</t>
  </si>
  <si>
    <t>RF02</t>
  </si>
  <si>
    <t>US03</t>
  </si>
  <si>
    <t>Encerrar acesso autenticado</t>
  </si>
  <si>
    <t>RF03</t>
  </si>
  <si>
    <t>US04</t>
  </si>
  <si>
    <t>Recuperar senha via e-mail</t>
  </si>
  <si>
    <t>RF04</t>
  </si>
  <si>
    <t>F02</t>
  </si>
  <si>
    <t>Gestão de Perfil</t>
  </si>
  <si>
    <t>US05</t>
  </si>
  <si>
    <t>Visualizar perfil com dados e classificação</t>
  </si>
  <si>
    <t>RF05</t>
  </si>
  <si>
    <t>US06</t>
  </si>
  <si>
    <t>Editar nome e senha do perfil</t>
  </si>
  <si>
    <t>RF06</t>
  </si>
  <si>
    <t>US07</t>
  </si>
  <si>
    <t>Excluir conta permanentemente</t>
  </si>
  <si>
    <t>RF07</t>
  </si>
  <si>
    <t>E02</t>
  </si>
  <si>
    <t>Onboarding e Classificação</t>
  </si>
  <si>
    <t>F03</t>
  </si>
  <si>
    <t>Questionário de Classificação</t>
  </si>
  <si>
    <t>US08</t>
  </si>
  <si>
    <t>Responder questionário de classificação</t>
  </si>
  <si>
    <t>RF08</t>
  </si>
  <si>
    <t>US09</t>
  </si>
  <si>
    <t>Classificar perfil automaticamente</t>
  </si>
  <si>
    <t>RF09</t>
  </si>
  <si>
    <t>US10</t>
  </si>
  <si>
    <t>Refazer questionário de classificação</t>
  </si>
  <si>
    <t>RF12</t>
  </si>
  <si>
    <t>F04</t>
  </si>
  <si>
    <t>Sugestão de Treino Inicial</t>
  </si>
  <si>
    <t>US11</t>
  </si>
  <si>
    <t>Visualizar sugestão de rotina por perfil</t>
  </si>
  <si>
    <t>RF10</t>
  </si>
  <si>
    <t>US12</t>
  </si>
  <si>
    <t>Recusar sugestão e prosseguir sem rotina</t>
  </si>
  <si>
    <t>RF11</t>
  </si>
  <si>
    <t>E03</t>
  </si>
  <si>
    <t>Planejamento de Treino</t>
  </si>
  <si>
    <t>F05</t>
  </si>
  <si>
    <t>Gestão de Exercícios</t>
  </si>
  <si>
    <t>US13</t>
  </si>
  <si>
    <t>Cadastrar exercício com nome e grupo muscular</t>
  </si>
  <si>
    <t>RF13</t>
  </si>
  <si>
    <t>US14</t>
  </si>
  <si>
    <t>Consultar exercícios por nome ou grupo</t>
  </si>
  <si>
    <t>RF14</t>
  </si>
  <si>
    <t>US15</t>
  </si>
  <si>
    <t>Editar exercício cadastrado</t>
  </si>
  <si>
    <t>RF15</t>
  </si>
  <si>
    <t>US16</t>
  </si>
  <si>
    <t>Inativar exercício não utilizado</t>
  </si>
  <si>
    <t>RF16</t>
  </si>
  <si>
    <t>F06</t>
  </si>
  <si>
    <t>Gestão de Rotinas</t>
  </si>
  <si>
    <t>US17</t>
  </si>
  <si>
    <t>Criar rotina com divisões e parâmetros planejados</t>
  </si>
  <si>
    <t>RF17</t>
  </si>
  <si>
    <t>US18</t>
  </si>
  <si>
    <t>Consultar rotinas e identificar a ativa</t>
  </si>
  <si>
    <t>RF18</t>
  </si>
  <si>
    <t>US19</t>
  </si>
  <si>
    <t>Editar rotina existente</t>
  </si>
  <si>
    <t>RF19</t>
  </si>
  <si>
    <t>US20</t>
  </si>
  <si>
    <t>Inativar rotina não utilizada</t>
  </si>
  <si>
    <t>RF20</t>
  </si>
  <si>
    <t>US21</t>
  </si>
  <si>
    <t>Definir rotina como ativa</t>
  </si>
  <si>
    <t>RF21</t>
  </si>
  <si>
    <t>E04</t>
  </si>
  <si>
    <t>Execução e Registro</t>
  </si>
  <si>
    <t>F07</t>
  </si>
  <si>
    <t>Registro de Sessão</t>
  </si>
  <si>
    <t>US22</t>
  </si>
  <si>
    <t>Registrar sessão de treino com execução real</t>
  </si>
  <si>
    <t>RF22</t>
  </si>
  <si>
    <t>US23</t>
  </si>
  <si>
    <t>Consultar detalhes de uma sessão</t>
  </si>
  <si>
    <t>RF23</t>
  </si>
  <si>
    <t>US24</t>
  </si>
  <si>
    <t>Editar sessão para corrigir erros</t>
  </si>
  <si>
    <t>RF24</t>
  </si>
  <si>
    <t>US25</t>
  </si>
  <si>
    <t>Excluir sessão registrada</t>
  </si>
  <si>
    <t>RF25</t>
  </si>
  <si>
    <t>E05</t>
  </si>
  <si>
    <t>Acompanhamento e Evolução</t>
  </si>
  <si>
    <t>F08</t>
  </si>
  <si>
    <t>Histórico de Treinos</t>
  </si>
  <si>
    <t>US26</t>
  </si>
  <si>
    <t>Visualizar histórico de sessões por data</t>
  </si>
  <si>
    <t>RF26</t>
  </si>
  <si>
    <t>US27</t>
  </si>
  <si>
    <t>Filtrar histórico por intervalo de datas</t>
  </si>
  <si>
    <t>RF27</t>
  </si>
  <si>
    <t>F09</t>
  </si>
  <si>
    <t>Monitoramento Semanal</t>
  </si>
  <si>
    <t>US28</t>
  </si>
  <si>
    <t>Visualizar resumo semanal de constância</t>
  </si>
  <si>
    <t>RF28</t>
  </si>
  <si>
    <t>US29</t>
  </si>
  <si>
    <t>Navegar entre semanas no resumo</t>
  </si>
  <si>
    <t>RF29</t>
  </si>
  <si>
    <t>Priorização Individual — André Ricardo</t>
  </si>
  <si>
    <t>Complexidade: 1=Muito baixa, 2=Baixa, 3=Média, 4=Alta, 5=Muito alta  |  Impacto no Usuário: 1=Muito baixo, 2=Baixo, 3=Médio, 4=Alto, 5=Muito alto  |  Índice = Impacto / Complexidade</t>
  </si>
  <si>
    <t>Complexidade (1-5)</t>
  </si>
  <si>
    <t>Impacto no Usuário (1-5)</t>
  </si>
  <si>
    <t>Índice de Prioridade</t>
  </si>
  <si>
    <t>Priorização Individual — Daniel Teles Brito</t>
  </si>
  <si>
    <t>Priorização Individual — Eduardo Oliveira Valadares</t>
  </si>
  <si>
    <t>Priorização Individual — Eduardo Silva Waski</t>
  </si>
  <si>
    <t>Priorização Individual — Giovanni Dornelas Ferreira</t>
  </si>
  <si>
    <t>Priorização Individual — João Maurício Pilla Nascimento</t>
  </si>
  <si>
    <t>Priorização Individual — José Victor Gabriel Menezes da Costa</t>
  </si>
  <si>
    <t>Priorização Individual — Lucas Gabriel da Silva Antunes</t>
  </si>
  <si>
    <t>Priorização Individual — Samuel Nogueira Caetano</t>
  </si>
  <si>
    <t>Priorização Individual — Mateus Santos Negrini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</si>
</sst>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1F4E79"/>
      <name val="Arial"/>
    </font>
    <font>
      <sz val="9.0"/>
      <color rgb="FF666666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1F4E79"/>
        <bgColor rgb="FF1F4E79"/>
      </patternFill>
    </fill>
    <fill>
      <patternFill patternType="solid">
        <fgColor rgb="FFFFFFCC"/>
        <bgColor rgb="FFFFFFCC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horizontal="left" shrinkToFit="0" vertical="center" wrapText="1"/>
    </xf>
    <xf borderId="1" fillId="2" fontId="3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5" numFmtId="2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readingOrder="0" shrinkToFit="0" vertical="center" wrapText="1"/>
    </xf>
    <xf borderId="1" fillId="4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45.0"/>
    <col customWidth="1" min="3" max="3" width="8.0"/>
    <col customWidth="1" min="4" max="4" width="18.0"/>
    <col customWidth="1" min="5" max="5" width="22.0"/>
    <col customWidth="1" min="6" max="26" width="8.71"/>
  </cols>
  <sheetData>
    <row r="1">
      <c r="A1" s="1" t="s">
        <v>0</v>
      </c>
    </row>
    <row r="2" ht="30.0" customHeight="1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>
      <c r="A4" s="4" t="s">
        <v>7</v>
      </c>
      <c r="B4" s="5" t="s">
        <v>8</v>
      </c>
      <c r="C4" s="4"/>
      <c r="D4" s="4"/>
      <c r="E4" s="4"/>
    </row>
    <row r="5">
      <c r="A5" s="6" t="s">
        <v>9</v>
      </c>
      <c r="B5" s="7" t="s">
        <v>10</v>
      </c>
      <c r="C5" s="6"/>
      <c r="D5" s="6"/>
      <c r="E5" s="6"/>
    </row>
    <row r="6">
      <c r="A6" s="8" t="s">
        <v>11</v>
      </c>
      <c r="B6" s="9" t="s">
        <v>12</v>
      </c>
      <c r="C6" s="8" t="s">
        <v>13</v>
      </c>
      <c r="D6" s="10">
        <f>IFERROR(AVERAGE('André'!F6,Daniel!F6,Eduardo!F6,Eduardo!F6,Giovanni!F6,'João'!F6,'José'!F6,Lucas!F6,Samuel!F6,Mateus!F6),"")</f>
        <v>2.75</v>
      </c>
      <c r="E6" s="11" t="str">
        <f t="shared" ref="E6:E9" si="1">IF(D6="","",IF(D6&gt;=2.5,"Must Have",IF(D6&gt;=2,"Should Have",IF(D6&gt;=0.5,"Could Have","Won't Have"))))</f>
        <v>Must Have</v>
      </c>
    </row>
    <row r="7">
      <c r="A7" s="8" t="s">
        <v>14</v>
      </c>
      <c r="B7" s="9" t="s">
        <v>15</v>
      </c>
      <c r="C7" s="8" t="s">
        <v>16</v>
      </c>
      <c r="D7" s="10">
        <f>IFERROR(AVERAGE('André'!F7,Daniel!F7,Eduardo!F7,Eduardo!F7,Giovanni!F7,'João'!F7,'José'!F7,Lucas!F7,Samuel!F7,Mateus!F7),"")</f>
        <v>3.166666667</v>
      </c>
      <c r="E7" s="11" t="str">
        <f t="shared" si="1"/>
        <v>Must Have</v>
      </c>
    </row>
    <row r="8">
      <c r="A8" s="8" t="s">
        <v>17</v>
      </c>
      <c r="B8" s="9" t="s">
        <v>18</v>
      </c>
      <c r="C8" s="8" t="s">
        <v>19</v>
      </c>
      <c r="D8" s="10">
        <f>IFERROR(AVERAGE('André'!F8,Daniel!F8,Eduardo!F8,Eduardo!F8,Giovanni!F8,'João'!F8,'José'!F8,Lucas!F8,Samuel!F8,Mateus!F8),"")</f>
        <v>3.166666667</v>
      </c>
      <c r="E8" s="11" t="str">
        <f t="shared" si="1"/>
        <v>Must Have</v>
      </c>
    </row>
    <row r="9">
      <c r="A9" s="8" t="s">
        <v>20</v>
      </c>
      <c r="B9" s="9" t="s">
        <v>21</v>
      </c>
      <c r="C9" s="8" t="s">
        <v>22</v>
      </c>
      <c r="D9" s="10">
        <f>IFERROR(AVERAGE('André'!F9,Daniel!F9,Eduardo!F9,Eduardo!F9,Giovanni!F9,'João'!F9,'José'!F9,Lucas!F9,Samuel!F9,Mateus!F9),"")</f>
        <v>0.8583333333</v>
      </c>
      <c r="E9" s="11" t="str">
        <f t="shared" si="1"/>
        <v>Could Have</v>
      </c>
    </row>
    <row r="10">
      <c r="A10" s="6" t="s">
        <v>23</v>
      </c>
      <c r="B10" s="7" t="s">
        <v>24</v>
      </c>
      <c r="C10" s="6"/>
      <c r="D10" s="6"/>
      <c r="E10" s="6"/>
    </row>
    <row r="11">
      <c r="A11" s="8" t="s">
        <v>25</v>
      </c>
      <c r="B11" s="9" t="s">
        <v>26</v>
      </c>
      <c r="C11" s="8" t="s">
        <v>27</v>
      </c>
      <c r="D11" s="10">
        <f>IFERROR(AVERAGE('André'!F11,Daniel!F11,Eduardo!F11,Eduardo!F11,Giovanni!F11,'João'!F11,'José'!F11,Lucas!F11,Samuel!F11,Mateus!F11),"")</f>
        <v>1.5</v>
      </c>
      <c r="E11" s="11" t="str">
        <f t="shared" ref="E11:E13" si="2">IF(D11="","",IF(D11&gt;=2.5,"Must Have",IF(D11&gt;=2,"Should Have",IF(D11&gt;=0.5,"Could Have","Won't Have"))))</f>
        <v>Could Have</v>
      </c>
    </row>
    <row r="12">
      <c r="A12" s="8" t="s">
        <v>28</v>
      </c>
      <c r="B12" s="9" t="s">
        <v>29</v>
      </c>
      <c r="C12" s="8" t="s">
        <v>30</v>
      </c>
      <c r="D12" s="10">
        <f>IFERROR(AVERAGE('André'!F12,Daniel!F12,Eduardo!F12,Eduardo!F12,Giovanni!F12,'João'!F12,'José'!F12,Lucas!F12,Samuel!F12,Mateus!F12),"")</f>
        <v>1.944444444</v>
      </c>
      <c r="E12" s="11" t="str">
        <f t="shared" si="2"/>
        <v>Could Have</v>
      </c>
    </row>
    <row r="13">
      <c r="A13" s="8" t="s">
        <v>31</v>
      </c>
      <c r="B13" s="9" t="s">
        <v>32</v>
      </c>
      <c r="C13" s="8" t="s">
        <v>33</v>
      </c>
      <c r="D13" s="10">
        <f>IFERROR(AVERAGE('André'!F13,Daniel!F13,Eduardo!F13,Eduardo!F13,Giovanni!F13,'João'!F13,'José'!F13,Lucas!F13,Samuel!F13,Mateus!F13),"")</f>
        <v>2.416666667</v>
      </c>
      <c r="E13" s="11" t="str">
        <f t="shared" si="2"/>
        <v>Should Have</v>
      </c>
    </row>
    <row r="14">
      <c r="A14" s="4" t="s">
        <v>34</v>
      </c>
      <c r="B14" s="5" t="s">
        <v>35</v>
      </c>
      <c r="C14" s="4"/>
      <c r="D14" s="4"/>
      <c r="E14" s="4"/>
    </row>
    <row r="15">
      <c r="A15" s="6" t="s">
        <v>36</v>
      </c>
      <c r="B15" s="7" t="s">
        <v>37</v>
      </c>
      <c r="C15" s="6"/>
      <c r="D15" s="6"/>
      <c r="E15" s="6"/>
    </row>
    <row r="16">
      <c r="A16" s="8" t="s">
        <v>38</v>
      </c>
      <c r="B16" s="9" t="s">
        <v>39</v>
      </c>
      <c r="C16" s="8" t="s">
        <v>40</v>
      </c>
      <c r="D16" s="10">
        <f>IFERROR(AVERAGE('André'!F16,Daniel!F16,Eduardo!F16,Eduardo!F16,Giovanni!F16,'João'!F16,'José'!F16,Lucas!F16,Samuel!F16,Mateus!F16),"")</f>
        <v>1.833333333</v>
      </c>
      <c r="E16" s="11" t="str">
        <f t="shared" ref="E16:E18" si="3">IF(D16="","",IF(D16&gt;=2.5,"Must Have",IF(D16&gt;=2,"Should Have",IF(D16&gt;=0.5,"Could Have","Won't Have"))))</f>
        <v>Could Have</v>
      </c>
    </row>
    <row r="17">
      <c r="A17" s="8" t="s">
        <v>41</v>
      </c>
      <c r="B17" s="9" t="s">
        <v>42</v>
      </c>
      <c r="C17" s="8" t="s">
        <v>43</v>
      </c>
      <c r="D17" s="10">
        <f>IFERROR(AVERAGE('André'!F17,Daniel!F17,Eduardo!F17,Eduardo!F17,Giovanni!F17,'João'!F17,'José'!F17,Lucas!F17,Samuel!F17,Mateus!F17),"")</f>
        <v>1.355555556</v>
      </c>
      <c r="E17" s="11" t="str">
        <f t="shared" si="3"/>
        <v>Could Have</v>
      </c>
    </row>
    <row r="18">
      <c r="A18" s="8" t="s">
        <v>44</v>
      </c>
      <c r="B18" s="9" t="s">
        <v>45</v>
      </c>
      <c r="C18" s="8" t="s">
        <v>46</v>
      </c>
      <c r="D18" s="10">
        <f>IFERROR(AVERAGE('André'!F18,Daniel!F18,Eduardo!F18,Eduardo!F18,Giovanni!F18,'João'!F18,'José'!F18,Lucas!F18,Samuel!F18,Mateus!F18),"")</f>
        <v>1.569444444</v>
      </c>
      <c r="E18" s="11" t="str">
        <f t="shared" si="3"/>
        <v>Could Have</v>
      </c>
    </row>
    <row r="19">
      <c r="A19" s="6" t="s">
        <v>47</v>
      </c>
      <c r="B19" s="7" t="s">
        <v>48</v>
      </c>
      <c r="C19" s="6"/>
      <c r="D19" s="6"/>
      <c r="E19" s="6"/>
    </row>
    <row r="20">
      <c r="A20" s="8" t="s">
        <v>49</v>
      </c>
      <c r="B20" s="9" t="s">
        <v>50</v>
      </c>
      <c r="C20" s="8" t="s">
        <v>51</v>
      </c>
      <c r="D20" s="10">
        <f>IFERROR(AVERAGE('André'!F20,Daniel!F20,Eduardo!F20,Eduardo!F20,Giovanni!F20,'João'!F20,'José'!F20,Lucas!F20,Samuel!F20,Mateus!F20),"")</f>
        <v>1.583333333</v>
      </c>
      <c r="E20" s="11" t="str">
        <f t="shared" ref="E20:E21" si="4">IF(D20="","",IF(D20&gt;=2.5,"Must Have",IF(D20&gt;=2,"Should Have",IF(D20&gt;=0.5,"Could Have","Won't Have"))))</f>
        <v>Could Have</v>
      </c>
    </row>
    <row r="21" ht="15.75" customHeight="1">
      <c r="A21" s="8" t="s">
        <v>52</v>
      </c>
      <c r="B21" s="9" t="s">
        <v>53</v>
      </c>
      <c r="C21" s="8" t="s">
        <v>54</v>
      </c>
      <c r="D21" s="10">
        <f>IFERROR(AVERAGE('André'!F21,Daniel!F21,Eduardo!F21,Eduardo!F21,Giovanni!F21,'João'!F21,'José'!F21,Lucas!F21,Samuel!F21,Mateus!F21),"")</f>
        <v>2.638888889</v>
      </c>
      <c r="E21" s="11" t="str">
        <f t="shared" si="4"/>
        <v>Must Have</v>
      </c>
    </row>
    <row r="22" ht="15.75" customHeight="1">
      <c r="A22" s="4" t="s">
        <v>55</v>
      </c>
      <c r="B22" s="5" t="s">
        <v>56</v>
      </c>
      <c r="C22" s="4"/>
      <c r="D22" s="4"/>
      <c r="E22" s="4"/>
    </row>
    <row r="23" ht="15.75" customHeight="1">
      <c r="A23" s="6" t="s">
        <v>57</v>
      </c>
      <c r="B23" s="7" t="s">
        <v>58</v>
      </c>
      <c r="C23" s="6"/>
      <c r="D23" s="6"/>
      <c r="E23" s="6"/>
    </row>
    <row r="24" ht="15.75" customHeight="1">
      <c r="A24" s="8" t="s">
        <v>59</v>
      </c>
      <c r="B24" s="9" t="s">
        <v>60</v>
      </c>
      <c r="C24" s="8" t="s">
        <v>61</v>
      </c>
      <c r="D24" s="10">
        <f>IFERROR(AVERAGE('André'!F24,Daniel!F24,Eduardo!F24,Eduardo!F24,Giovanni!F24,'João'!F24,'José'!F24,Lucas!F24,Samuel!F24,Mateus!F24),"")</f>
        <v>2.611111111</v>
      </c>
      <c r="E24" s="11" t="str">
        <f t="shared" ref="E24:E27" si="5">IF(D24="","",IF(D24&gt;=2.5,"Must Have",IF(D24&gt;=2,"Should Have",IF(D24&gt;=0.5,"Could Have","Won't Have"))))</f>
        <v>Must Have</v>
      </c>
    </row>
    <row r="25" ht="15.75" customHeight="1">
      <c r="A25" s="8" t="s">
        <v>62</v>
      </c>
      <c r="B25" s="9" t="s">
        <v>63</v>
      </c>
      <c r="C25" s="8" t="s">
        <v>64</v>
      </c>
      <c r="D25" s="10">
        <f>IFERROR(AVERAGE('André'!F25,Daniel!F25,Eduardo!F25,Eduardo!F25,Giovanni!F25,'João'!F25,'José'!F25,Lucas!F25,Samuel!F25,Mateus!F25),"")</f>
        <v>2.694444444</v>
      </c>
      <c r="E25" s="11" t="str">
        <f t="shared" si="5"/>
        <v>Must Have</v>
      </c>
    </row>
    <row r="26" ht="15.75" customHeight="1">
      <c r="A26" s="8" t="s">
        <v>65</v>
      </c>
      <c r="B26" s="9" t="s">
        <v>66</v>
      </c>
      <c r="C26" s="8" t="s">
        <v>67</v>
      </c>
      <c r="D26" s="10">
        <f>IFERROR(AVERAGE('André'!F26,Daniel!F26,Eduardo!F26,Eduardo!F26,Giovanni!F26,'João'!F26,'José'!F26,Lucas!F26,Samuel!F26,Mateus!F26),"")</f>
        <v>2.25</v>
      </c>
      <c r="E26" s="11" t="str">
        <f t="shared" si="5"/>
        <v>Should Have</v>
      </c>
    </row>
    <row r="27" ht="15.75" customHeight="1">
      <c r="A27" s="8" t="s">
        <v>68</v>
      </c>
      <c r="B27" s="9" t="s">
        <v>69</v>
      </c>
      <c r="C27" s="8" t="s">
        <v>70</v>
      </c>
      <c r="D27" s="10">
        <f>IFERROR(AVERAGE('André'!F27,Daniel!F27,Eduardo!F27,Eduardo!F27,Giovanni!F27,'João'!F27,'José'!F27,Lucas!F27,Samuel!F27,Mateus!F27),"")</f>
        <v>2.388888889</v>
      </c>
      <c r="E27" s="11" t="str">
        <f t="shared" si="5"/>
        <v>Should Have</v>
      </c>
    </row>
    <row r="28" ht="15.75" customHeight="1">
      <c r="A28" s="6" t="s">
        <v>71</v>
      </c>
      <c r="B28" s="7" t="s">
        <v>72</v>
      </c>
      <c r="C28" s="6"/>
      <c r="D28" s="6"/>
      <c r="E28" s="6"/>
    </row>
    <row r="29" ht="15.75" customHeight="1">
      <c r="A29" s="8" t="s">
        <v>73</v>
      </c>
      <c r="B29" s="9" t="s">
        <v>74</v>
      </c>
      <c r="C29" s="8" t="s">
        <v>75</v>
      </c>
      <c r="D29" s="10">
        <f>IFERROR(AVERAGE('André'!F29,Daniel!F29,Eduardo!F29,Eduardo!F29,Giovanni!F29,'João'!F29,'José'!F29,Lucas!F29,Samuel!F29,Mateus!F29),"")</f>
        <v>2.041666667</v>
      </c>
      <c r="E29" s="11" t="str">
        <f t="shared" ref="E29:E33" si="6">IF(D29="","",IF(D29&gt;=2.5,"Must Have",IF(D29&gt;=2,"Should Have",IF(D29&gt;=0.5,"Could Have","Won't Have"))))</f>
        <v>Should Have</v>
      </c>
    </row>
    <row r="30" ht="15.75" customHeight="1">
      <c r="A30" s="8" t="s">
        <v>76</v>
      </c>
      <c r="B30" s="9" t="s">
        <v>77</v>
      </c>
      <c r="C30" s="8" t="s">
        <v>78</v>
      </c>
      <c r="D30" s="10">
        <f>IFERROR(AVERAGE('André'!F30,Daniel!F30,Eduardo!F30,Eduardo!F30,Giovanni!F30,'João'!F30,'José'!F30,Lucas!F30,Samuel!F30,Mateus!F30),"")</f>
        <v>2.694444444</v>
      </c>
      <c r="E30" s="11" t="str">
        <f t="shared" si="6"/>
        <v>Must Have</v>
      </c>
    </row>
    <row r="31" ht="15.75" customHeight="1">
      <c r="A31" s="8" t="s">
        <v>79</v>
      </c>
      <c r="B31" s="9" t="s">
        <v>80</v>
      </c>
      <c r="C31" s="8" t="s">
        <v>81</v>
      </c>
      <c r="D31" s="10">
        <f>IFERROR(AVERAGE('André'!F31,Daniel!F31,Eduardo!F31,Eduardo!F31,Giovanni!F31,'João'!F31,'José'!F31,Lucas!F31,Samuel!F31,Mateus!F31),"")</f>
        <v>2.083333333</v>
      </c>
      <c r="E31" s="11" t="str">
        <f t="shared" si="6"/>
        <v>Should Have</v>
      </c>
    </row>
    <row r="32" ht="15.75" customHeight="1">
      <c r="A32" s="8" t="s">
        <v>82</v>
      </c>
      <c r="B32" s="9" t="s">
        <v>83</v>
      </c>
      <c r="C32" s="8" t="s">
        <v>84</v>
      </c>
      <c r="D32" s="10">
        <f>IFERROR(AVERAGE('André'!F32,Daniel!F32,Eduardo!F32,Eduardo!F32,Giovanni!F32,'João'!F32,'José'!F32,Lucas!F32,Samuel!F32,Mateus!F32),"")</f>
        <v>2.472222222</v>
      </c>
      <c r="E32" s="11" t="str">
        <f t="shared" si="6"/>
        <v>Should Have</v>
      </c>
    </row>
    <row r="33" ht="15.75" customHeight="1">
      <c r="A33" s="8" t="s">
        <v>85</v>
      </c>
      <c r="B33" s="9" t="s">
        <v>86</v>
      </c>
      <c r="C33" s="8" t="s">
        <v>87</v>
      </c>
      <c r="D33" s="10">
        <f>IFERROR(AVERAGE('André'!F33,Daniel!F33,Eduardo!F33,Eduardo!F33,Giovanni!F33,'João'!F33,'José'!F33,Lucas!F33,Samuel!F33,Mateus!F33),"")</f>
        <v>2.694444444</v>
      </c>
      <c r="E33" s="11" t="str">
        <f t="shared" si="6"/>
        <v>Must Have</v>
      </c>
    </row>
    <row r="34" ht="15.75" customHeight="1">
      <c r="A34" s="4" t="s">
        <v>88</v>
      </c>
      <c r="B34" s="5" t="s">
        <v>89</v>
      </c>
      <c r="C34" s="4"/>
      <c r="D34" s="4"/>
      <c r="E34" s="4"/>
    </row>
    <row r="35" ht="15.75" customHeight="1">
      <c r="A35" s="6" t="s">
        <v>90</v>
      </c>
      <c r="B35" s="7" t="s">
        <v>91</v>
      </c>
      <c r="C35" s="6"/>
      <c r="D35" s="6"/>
      <c r="E35" s="6"/>
    </row>
    <row r="36" ht="15.75" customHeight="1">
      <c r="A36" s="8" t="s">
        <v>92</v>
      </c>
      <c r="B36" s="9" t="s">
        <v>93</v>
      </c>
      <c r="C36" s="8" t="s">
        <v>94</v>
      </c>
      <c r="D36" s="10">
        <f>IFERROR(AVERAGE('André'!F36,Daniel!F36,Eduardo!F36,Eduardo!F36,Giovanni!F36,'João'!F36,'José'!F36,Lucas!F36,Samuel!F36,Mateus!F36),"")</f>
        <v>1.638888889</v>
      </c>
      <c r="E36" s="11" t="str">
        <f t="shared" ref="E36:E39" si="7">IF(D36="","",IF(D36&gt;=2.5,"Must Have",IF(D36&gt;=2,"Should Have",IF(D36&gt;=0.5,"Could Have","Won't Have"))))</f>
        <v>Could Have</v>
      </c>
    </row>
    <row r="37" ht="15.75" customHeight="1">
      <c r="A37" s="8" t="s">
        <v>95</v>
      </c>
      <c r="B37" s="9" t="s">
        <v>96</v>
      </c>
      <c r="C37" s="8" t="s">
        <v>97</v>
      </c>
      <c r="D37" s="10">
        <f>IFERROR(AVERAGE('André'!F37,Daniel!F37,Eduardo!F37,Eduardo!F37,Giovanni!F37,'João'!F37,'José'!F37,Lucas!F37,Samuel!F37,Mateus!F37),"")</f>
        <v>2.194444444</v>
      </c>
      <c r="E37" s="11" t="str">
        <f t="shared" si="7"/>
        <v>Should Have</v>
      </c>
    </row>
    <row r="38" ht="15.75" customHeight="1">
      <c r="A38" s="8" t="s">
        <v>98</v>
      </c>
      <c r="B38" s="9" t="s">
        <v>99</v>
      </c>
      <c r="C38" s="8" t="s">
        <v>100</v>
      </c>
      <c r="D38" s="10">
        <f>IFERROR(AVERAGE('André'!F38,Daniel!F38,Eduardo!F38,Eduardo!F38,Giovanni!F38,'João'!F38,'José'!F38,Lucas!F38,Samuel!F38,Mateus!F38),"")</f>
        <v>1.861111111</v>
      </c>
      <c r="E38" s="11" t="str">
        <f t="shared" si="7"/>
        <v>Could Have</v>
      </c>
    </row>
    <row r="39" ht="15.75" customHeight="1">
      <c r="A39" s="8" t="s">
        <v>101</v>
      </c>
      <c r="B39" s="9" t="s">
        <v>102</v>
      </c>
      <c r="C39" s="8" t="s">
        <v>103</v>
      </c>
      <c r="D39" s="10">
        <f>IFERROR(AVERAGE('André'!F39,Daniel!F39,Eduardo!F39,Eduardo!F39,Giovanni!F39,'João'!F39,'José'!F39,Lucas!F39,Samuel!F39,Mateus!F39),"")</f>
        <v>3</v>
      </c>
      <c r="E39" s="11" t="str">
        <f t="shared" si="7"/>
        <v>Must Have</v>
      </c>
    </row>
    <row r="40" ht="15.75" customHeight="1">
      <c r="A40" s="4" t="s">
        <v>104</v>
      </c>
      <c r="B40" s="5" t="s">
        <v>105</v>
      </c>
      <c r="C40" s="4"/>
      <c r="D40" s="4"/>
      <c r="E40" s="4"/>
    </row>
    <row r="41" ht="15.75" customHeight="1">
      <c r="A41" s="6" t="s">
        <v>106</v>
      </c>
      <c r="B41" s="7" t="s">
        <v>107</v>
      </c>
      <c r="C41" s="6"/>
      <c r="D41" s="6"/>
      <c r="E41" s="6"/>
    </row>
    <row r="42" ht="15.75" customHeight="1">
      <c r="A42" s="8" t="s">
        <v>108</v>
      </c>
      <c r="B42" s="9" t="s">
        <v>109</v>
      </c>
      <c r="C42" s="8" t="s">
        <v>110</v>
      </c>
      <c r="D42" s="10">
        <f>IFERROR(AVERAGE('André'!F42,Daniel!F42,Eduardo!F42,Eduardo!F42,Giovanni!F42,'João'!F42,'José'!F42,Lucas!F42,Samuel!F42,Mateus!F42),"")</f>
        <v>1.572222222</v>
      </c>
      <c r="E42" s="11" t="str">
        <f t="shared" ref="E42:E43" si="8">IF(D42="","",IF(D42&gt;=2.5,"Must Have",IF(D42&gt;=2,"Should Have",IF(D42&gt;=0.5,"Could Have","Won't Have"))))</f>
        <v>Could Have</v>
      </c>
    </row>
    <row r="43" ht="15.75" customHeight="1">
      <c r="A43" s="8" t="s">
        <v>111</v>
      </c>
      <c r="B43" s="9" t="s">
        <v>112</v>
      </c>
      <c r="C43" s="8" t="s">
        <v>113</v>
      </c>
      <c r="D43" s="10">
        <f>IFERROR(AVERAGE('André'!F43,Daniel!F43,Eduardo!F43,Eduardo!F43,Giovanni!F43,'João'!F43,'José'!F43,Lucas!F43,Samuel!F43,Mateus!F43),"")</f>
        <v>1.488888889</v>
      </c>
      <c r="E43" s="11" t="str">
        <f t="shared" si="8"/>
        <v>Could Have</v>
      </c>
    </row>
    <row r="44" ht="15.75" customHeight="1">
      <c r="A44" s="6" t="s">
        <v>114</v>
      </c>
      <c r="B44" s="7" t="s">
        <v>115</v>
      </c>
      <c r="C44" s="6"/>
      <c r="D44" s="6"/>
      <c r="E44" s="6"/>
    </row>
    <row r="45" ht="15.75" customHeight="1">
      <c r="A45" s="8" t="s">
        <v>116</v>
      </c>
      <c r="B45" s="9" t="s">
        <v>117</v>
      </c>
      <c r="C45" s="8" t="s">
        <v>118</v>
      </c>
      <c r="D45" s="10">
        <f>IFERROR(AVERAGE('André'!F45,Daniel!F45,Eduardo!F45,Eduardo!F45,Giovanni!F45,'João'!F45,'José'!F45,Lucas!F45,Samuel!F45,Mateus!F45),"")</f>
        <v>2</v>
      </c>
      <c r="E45" s="11" t="str">
        <f t="shared" ref="E45:E46" si="9">IF(D45="","",IF(D45&gt;=2.5,"Must Have",IF(D45&gt;=2,"Should Have",IF(D45&gt;=0.5,"Could Have","Won't Have"))))</f>
        <v>Should Have</v>
      </c>
    </row>
    <row r="46" ht="15.75" customHeight="1">
      <c r="A46" s="8" t="s">
        <v>119</v>
      </c>
      <c r="B46" s="9" t="s">
        <v>120</v>
      </c>
      <c r="C46" s="8" t="s">
        <v>121</v>
      </c>
      <c r="D46" s="10">
        <f>IFERROR(AVERAGE('André'!F46,Daniel!F46,Eduardo!F46,Eduardo!F46,Giovanni!F46,'João'!F46,'José'!F46,Lucas!F46,Samuel!F46,Mateus!F46),"")</f>
        <v>1.694444444</v>
      </c>
      <c r="E46" s="11" t="str">
        <f t="shared" si="9"/>
        <v>Could Have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45.0"/>
    <col customWidth="1" min="3" max="3" width="8.0"/>
    <col customWidth="1" min="4" max="4" width="20.0"/>
    <col customWidth="1" min="5" max="5" width="22.0"/>
    <col customWidth="1" min="6" max="6" width="20.0"/>
    <col customWidth="1" min="7" max="26" width="8.71"/>
  </cols>
  <sheetData>
    <row r="1">
      <c r="A1" s="1" t="s">
        <v>122</v>
      </c>
    </row>
    <row r="2" ht="30.0" customHeight="1">
      <c r="A2" s="2" t="s">
        <v>123</v>
      </c>
    </row>
    <row r="3">
      <c r="A3" s="3" t="s">
        <v>2</v>
      </c>
      <c r="B3" s="3" t="s">
        <v>3</v>
      </c>
      <c r="C3" s="3" t="s">
        <v>4</v>
      </c>
      <c r="D3" s="3" t="s">
        <v>124</v>
      </c>
      <c r="E3" s="3" t="s">
        <v>125</v>
      </c>
      <c r="F3" s="3" t="s">
        <v>126</v>
      </c>
    </row>
    <row r="4">
      <c r="A4" s="4" t="s">
        <v>7</v>
      </c>
      <c r="B4" s="5" t="s">
        <v>8</v>
      </c>
      <c r="C4" s="4"/>
      <c r="D4" s="4"/>
      <c r="E4" s="4"/>
      <c r="F4" s="4"/>
    </row>
    <row r="5">
      <c r="A5" s="6" t="s">
        <v>9</v>
      </c>
      <c r="B5" s="7" t="s">
        <v>10</v>
      </c>
      <c r="C5" s="6"/>
      <c r="D5" s="6"/>
      <c r="E5" s="6"/>
      <c r="F5" s="6"/>
    </row>
    <row r="6">
      <c r="A6" s="8" t="s">
        <v>11</v>
      </c>
      <c r="B6" s="9" t="s">
        <v>12</v>
      </c>
      <c r="C6" s="8" t="s">
        <v>13</v>
      </c>
      <c r="D6" s="12">
        <v>2.0</v>
      </c>
      <c r="E6" s="12">
        <v>3.0</v>
      </c>
      <c r="F6" s="10">
        <f t="shared" ref="F6:F9" si="1">IF(AND(D6&lt;&gt;"",E6&lt;&gt;""),E6/D6,"")</f>
        <v>1.5</v>
      </c>
    </row>
    <row r="7">
      <c r="A7" s="8" t="s">
        <v>14</v>
      </c>
      <c r="B7" s="9" t="s">
        <v>15</v>
      </c>
      <c r="C7" s="8" t="s">
        <v>16</v>
      </c>
      <c r="D7" s="12">
        <v>2.0</v>
      </c>
      <c r="E7" s="12">
        <v>3.0</v>
      </c>
      <c r="F7" s="10">
        <f t="shared" si="1"/>
        <v>1.5</v>
      </c>
    </row>
    <row r="8">
      <c r="A8" s="8" t="s">
        <v>17</v>
      </c>
      <c r="B8" s="9" t="s">
        <v>18</v>
      </c>
      <c r="C8" s="8" t="s">
        <v>19</v>
      </c>
      <c r="D8" s="12">
        <v>1.0</v>
      </c>
      <c r="E8" s="12">
        <v>3.0</v>
      </c>
      <c r="F8" s="10">
        <f t="shared" si="1"/>
        <v>3</v>
      </c>
    </row>
    <row r="9">
      <c r="A9" s="8" t="s">
        <v>20</v>
      </c>
      <c r="B9" s="9" t="s">
        <v>21</v>
      </c>
      <c r="C9" s="8" t="s">
        <v>22</v>
      </c>
      <c r="D9" s="12">
        <v>5.0</v>
      </c>
      <c r="E9" s="12">
        <v>3.0</v>
      </c>
      <c r="F9" s="10">
        <f t="shared" si="1"/>
        <v>0.6</v>
      </c>
    </row>
    <row r="10">
      <c r="A10" s="6" t="s">
        <v>23</v>
      </c>
      <c r="B10" s="7" t="s">
        <v>24</v>
      </c>
      <c r="C10" s="6"/>
      <c r="D10" s="6"/>
      <c r="E10" s="6"/>
      <c r="F10" s="6"/>
    </row>
    <row r="11">
      <c r="A11" s="8" t="s">
        <v>25</v>
      </c>
      <c r="B11" s="9" t="s">
        <v>26</v>
      </c>
      <c r="C11" s="8" t="s">
        <v>27</v>
      </c>
      <c r="D11" s="12">
        <v>2.0</v>
      </c>
      <c r="E11" s="12">
        <v>4.0</v>
      </c>
      <c r="F11" s="10">
        <f t="shared" ref="F11:F13" si="2">IF(AND(D11&lt;&gt;"",E11&lt;&gt;""),E11/D11,"")</f>
        <v>2</v>
      </c>
    </row>
    <row r="12">
      <c r="A12" s="8" t="s">
        <v>28</v>
      </c>
      <c r="B12" s="9" t="s">
        <v>29</v>
      </c>
      <c r="C12" s="8" t="s">
        <v>30</v>
      </c>
      <c r="D12" s="12">
        <v>3.0</v>
      </c>
      <c r="E12" s="12">
        <v>4.0</v>
      </c>
      <c r="F12" s="10">
        <f t="shared" si="2"/>
        <v>1.333333333</v>
      </c>
    </row>
    <row r="13">
      <c r="A13" s="8" t="s">
        <v>31</v>
      </c>
      <c r="B13" s="9" t="s">
        <v>32</v>
      </c>
      <c r="C13" s="8" t="s">
        <v>33</v>
      </c>
      <c r="D13" s="12">
        <v>1.0</v>
      </c>
      <c r="E13" s="12">
        <v>3.0</v>
      </c>
      <c r="F13" s="10">
        <f t="shared" si="2"/>
        <v>3</v>
      </c>
    </row>
    <row r="14">
      <c r="A14" s="4" t="s">
        <v>34</v>
      </c>
      <c r="B14" s="5" t="s">
        <v>35</v>
      </c>
      <c r="C14" s="4"/>
      <c r="D14" s="4"/>
      <c r="E14" s="4"/>
      <c r="F14" s="4"/>
    </row>
    <row r="15">
      <c r="A15" s="6" t="s">
        <v>36</v>
      </c>
      <c r="B15" s="7" t="s">
        <v>37</v>
      </c>
      <c r="C15" s="6"/>
      <c r="D15" s="6"/>
      <c r="E15" s="6"/>
      <c r="F15" s="6"/>
    </row>
    <row r="16">
      <c r="A16" s="8" t="s">
        <v>38</v>
      </c>
      <c r="B16" s="9" t="s">
        <v>39</v>
      </c>
      <c r="C16" s="8" t="s">
        <v>40</v>
      </c>
      <c r="D16" s="12">
        <v>2.0</v>
      </c>
      <c r="E16" s="12">
        <v>5.0</v>
      </c>
      <c r="F16" s="10">
        <f t="shared" ref="F16:F18" si="3">IF(AND(D16&lt;&gt;"",E16&lt;&gt;""),E16/D16,"")</f>
        <v>2.5</v>
      </c>
    </row>
    <row r="17">
      <c r="A17" s="8" t="s">
        <v>41</v>
      </c>
      <c r="B17" s="9" t="s">
        <v>42</v>
      </c>
      <c r="C17" s="8" t="s">
        <v>43</v>
      </c>
      <c r="D17" s="12">
        <v>3.0</v>
      </c>
      <c r="E17" s="12">
        <v>4.0</v>
      </c>
      <c r="F17" s="10">
        <f t="shared" si="3"/>
        <v>1.333333333</v>
      </c>
    </row>
    <row r="18">
      <c r="A18" s="8" t="s">
        <v>44</v>
      </c>
      <c r="B18" s="9" t="s">
        <v>45</v>
      </c>
      <c r="C18" s="8" t="s">
        <v>46</v>
      </c>
      <c r="D18" s="12">
        <v>2.0</v>
      </c>
      <c r="E18" s="12">
        <v>5.0</v>
      </c>
      <c r="F18" s="10">
        <f t="shared" si="3"/>
        <v>2.5</v>
      </c>
    </row>
    <row r="19">
      <c r="A19" s="6" t="s">
        <v>47</v>
      </c>
      <c r="B19" s="7" t="s">
        <v>48</v>
      </c>
      <c r="C19" s="6"/>
      <c r="D19" s="6"/>
      <c r="E19" s="6"/>
      <c r="F19" s="6"/>
    </row>
    <row r="20">
      <c r="A20" s="8" t="s">
        <v>49</v>
      </c>
      <c r="B20" s="9" t="s">
        <v>50</v>
      </c>
      <c r="C20" s="8" t="s">
        <v>51</v>
      </c>
      <c r="D20" s="12">
        <v>3.0</v>
      </c>
      <c r="E20" s="12">
        <v>4.0</v>
      </c>
      <c r="F20" s="10">
        <f t="shared" ref="F20:F21" si="4">IF(AND(D20&lt;&gt;"",E20&lt;&gt;""),E20/D20,"")</f>
        <v>1.333333333</v>
      </c>
    </row>
    <row r="21" ht="15.75" customHeight="1">
      <c r="A21" s="8" t="s">
        <v>52</v>
      </c>
      <c r="B21" s="9" t="s">
        <v>53</v>
      </c>
      <c r="C21" s="8" t="s">
        <v>54</v>
      </c>
      <c r="D21" s="12">
        <v>3.0</v>
      </c>
      <c r="E21" s="12">
        <v>4.0</v>
      </c>
      <c r="F21" s="10">
        <f t="shared" si="4"/>
        <v>1.333333333</v>
      </c>
    </row>
    <row r="22" ht="15.75" customHeight="1">
      <c r="A22" s="4" t="s">
        <v>55</v>
      </c>
      <c r="B22" s="5" t="s">
        <v>56</v>
      </c>
      <c r="C22" s="4"/>
      <c r="D22" s="4"/>
      <c r="E22" s="4"/>
      <c r="F22" s="4"/>
    </row>
    <row r="23" ht="15.75" customHeight="1">
      <c r="A23" s="6" t="s">
        <v>57</v>
      </c>
      <c r="B23" s="7" t="s">
        <v>58</v>
      </c>
      <c r="C23" s="6"/>
      <c r="D23" s="6"/>
      <c r="E23" s="6"/>
      <c r="F23" s="6"/>
    </row>
    <row r="24" ht="15.75" customHeight="1">
      <c r="A24" s="8" t="s">
        <v>59</v>
      </c>
      <c r="B24" s="9" t="s">
        <v>60</v>
      </c>
      <c r="C24" s="8" t="s">
        <v>61</v>
      </c>
      <c r="D24" s="12">
        <v>2.0</v>
      </c>
      <c r="E24" s="12">
        <v>5.0</v>
      </c>
      <c r="F24" s="10">
        <f t="shared" ref="F24:F27" si="5">IF(AND(D24&lt;&gt;"",E24&lt;&gt;""),E24/D24,"")</f>
        <v>2.5</v>
      </c>
    </row>
    <row r="25" ht="15.75" customHeight="1">
      <c r="A25" s="8" t="s">
        <v>62</v>
      </c>
      <c r="B25" s="9" t="s">
        <v>63</v>
      </c>
      <c r="C25" s="8" t="s">
        <v>64</v>
      </c>
      <c r="D25" s="12">
        <v>3.0</v>
      </c>
      <c r="E25" s="12">
        <v>5.0</v>
      </c>
      <c r="F25" s="10">
        <f t="shared" si="5"/>
        <v>1.666666667</v>
      </c>
    </row>
    <row r="26" ht="15.75" customHeight="1">
      <c r="A26" s="8" t="s">
        <v>65</v>
      </c>
      <c r="B26" s="9" t="s">
        <v>66</v>
      </c>
      <c r="C26" s="8" t="s">
        <v>67</v>
      </c>
      <c r="D26" s="12">
        <v>3.0</v>
      </c>
      <c r="E26" s="12">
        <v>5.0</v>
      </c>
      <c r="F26" s="10">
        <f t="shared" si="5"/>
        <v>1.666666667</v>
      </c>
    </row>
    <row r="27" ht="15.75" customHeight="1">
      <c r="A27" s="8" t="s">
        <v>68</v>
      </c>
      <c r="B27" s="9" t="s">
        <v>69</v>
      </c>
      <c r="C27" s="8" t="s">
        <v>70</v>
      </c>
      <c r="D27" s="12">
        <v>3.0</v>
      </c>
      <c r="E27" s="12">
        <v>4.0</v>
      </c>
      <c r="F27" s="10">
        <f t="shared" si="5"/>
        <v>1.333333333</v>
      </c>
    </row>
    <row r="28" ht="15.75" customHeight="1">
      <c r="A28" s="6" t="s">
        <v>71</v>
      </c>
      <c r="B28" s="7" t="s">
        <v>72</v>
      </c>
      <c r="C28" s="6"/>
      <c r="D28" s="6"/>
      <c r="E28" s="6"/>
      <c r="F28" s="6"/>
    </row>
    <row r="29" ht="15.75" customHeight="1">
      <c r="A29" s="8" t="s">
        <v>73</v>
      </c>
      <c r="B29" s="9" t="s">
        <v>74</v>
      </c>
      <c r="C29" s="8" t="s">
        <v>75</v>
      </c>
      <c r="D29" s="12">
        <v>3.0</v>
      </c>
      <c r="E29" s="12">
        <v>5.0</v>
      </c>
      <c r="F29" s="10">
        <f t="shared" ref="F29:F33" si="6">IF(AND(D29&lt;&gt;"",E29&lt;&gt;""),E29/D29,"")</f>
        <v>1.666666667</v>
      </c>
    </row>
    <row r="30" ht="15.75" customHeight="1">
      <c r="A30" s="8" t="s">
        <v>76</v>
      </c>
      <c r="B30" s="9" t="s">
        <v>77</v>
      </c>
      <c r="C30" s="8" t="s">
        <v>78</v>
      </c>
      <c r="D30" s="12">
        <v>2.0</v>
      </c>
      <c r="E30" s="12">
        <v>5.0</v>
      </c>
      <c r="F30" s="10">
        <f t="shared" si="6"/>
        <v>2.5</v>
      </c>
    </row>
    <row r="31" ht="15.75" customHeight="1">
      <c r="A31" s="8" t="s">
        <v>79</v>
      </c>
      <c r="B31" s="9" t="s">
        <v>80</v>
      </c>
      <c r="C31" s="8" t="s">
        <v>81</v>
      </c>
      <c r="D31" s="12">
        <v>3.0</v>
      </c>
      <c r="E31" s="12">
        <v>4.0</v>
      </c>
      <c r="F31" s="10">
        <f t="shared" si="6"/>
        <v>1.333333333</v>
      </c>
    </row>
    <row r="32" ht="15.75" customHeight="1">
      <c r="A32" s="8" t="s">
        <v>82</v>
      </c>
      <c r="B32" s="9" t="s">
        <v>83</v>
      </c>
      <c r="C32" s="8" t="s">
        <v>84</v>
      </c>
      <c r="D32" s="12">
        <v>3.0</v>
      </c>
      <c r="E32" s="12">
        <v>4.0</v>
      </c>
      <c r="F32" s="10">
        <f t="shared" si="6"/>
        <v>1.333333333</v>
      </c>
    </row>
    <row r="33" ht="15.75" customHeight="1">
      <c r="A33" s="8" t="s">
        <v>85</v>
      </c>
      <c r="B33" s="9" t="s">
        <v>86</v>
      </c>
      <c r="C33" s="8" t="s">
        <v>87</v>
      </c>
      <c r="D33" s="12">
        <v>3.0</v>
      </c>
      <c r="E33" s="12">
        <v>5.0</v>
      </c>
      <c r="F33" s="10">
        <f t="shared" si="6"/>
        <v>1.666666667</v>
      </c>
    </row>
    <row r="34" ht="15.75" customHeight="1">
      <c r="A34" s="4" t="s">
        <v>88</v>
      </c>
      <c r="B34" s="5" t="s">
        <v>89</v>
      </c>
      <c r="C34" s="4"/>
      <c r="D34" s="4"/>
      <c r="E34" s="4"/>
      <c r="F34" s="4"/>
    </row>
    <row r="35" ht="15.75" customHeight="1">
      <c r="A35" s="6" t="s">
        <v>90</v>
      </c>
      <c r="B35" s="7" t="s">
        <v>91</v>
      </c>
      <c r="C35" s="6"/>
      <c r="D35" s="6"/>
      <c r="E35" s="6"/>
      <c r="F35" s="6"/>
    </row>
    <row r="36" ht="15.75" customHeight="1">
      <c r="A36" s="8" t="s">
        <v>92</v>
      </c>
      <c r="B36" s="9" t="s">
        <v>93</v>
      </c>
      <c r="C36" s="8" t="s">
        <v>94</v>
      </c>
      <c r="D36" s="12">
        <v>4.0</v>
      </c>
      <c r="E36" s="12">
        <v>4.0</v>
      </c>
      <c r="F36" s="10">
        <f t="shared" ref="F36:F39" si="7">IF(AND(D36&lt;&gt;"",E36&lt;&gt;""),E36/D36,"")</f>
        <v>1</v>
      </c>
    </row>
    <row r="37" ht="15.75" customHeight="1">
      <c r="A37" s="8" t="s">
        <v>95</v>
      </c>
      <c r="B37" s="9" t="s">
        <v>96</v>
      </c>
      <c r="C37" s="8" t="s">
        <v>97</v>
      </c>
      <c r="D37" s="12">
        <v>3.0</v>
      </c>
      <c r="E37" s="12">
        <v>4.0</v>
      </c>
      <c r="F37" s="10">
        <f t="shared" si="7"/>
        <v>1.333333333</v>
      </c>
    </row>
    <row r="38" ht="15.75" customHeight="1">
      <c r="A38" s="8" t="s">
        <v>98</v>
      </c>
      <c r="B38" s="9" t="s">
        <v>99</v>
      </c>
      <c r="C38" s="8" t="s">
        <v>100</v>
      </c>
      <c r="D38" s="12">
        <v>3.0</v>
      </c>
      <c r="E38" s="12">
        <v>3.0</v>
      </c>
      <c r="F38" s="10">
        <f t="shared" si="7"/>
        <v>1</v>
      </c>
    </row>
    <row r="39" ht="15.75" customHeight="1">
      <c r="A39" s="8" t="s">
        <v>101</v>
      </c>
      <c r="B39" s="9" t="s">
        <v>102</v>
      </c>
      <c r="C39" s="8" t="s">
        <v>103</v>
      </c>
      <c r="D39" s="12">
        <v>2.0</v>
      </c>
      <c r="E39" s="12">
        <v>3.0</v>
      </c>
      <c r="F39" s="10">
        <f t="shared" si="7"/>
        <v>1.5</v>
      </c>
    </row>
    <row r="40" ht="15.75" customHeight="1">
      <c r="A40" s="4" t="s">
        <v>104</v>
      </c>
      <c r="B40" s="5" t="s">
        <v>105</v>
      </c>
      <c r="C40" s="4"/>
      <c r="D40" s="4"/>
      <c r="E40" s="4"/>
      <c r="F40" s="4"/>
    </row>
    <row r="41" ht="15.75" customHeight="1">
      <c r="A41" s="6" t="s">
        <v>106</v>
      </c>
      <c r="B41" s="7" t="s">
        <v>107</v>
      </c>
      <c r="C41" s="6"/>
      <c r="D41" s="6"/>
      <c r="E41" s="6"/>
      <c r="F41" s="6"/>
    </row>
    <row r="42" ht="15.75" customHeight="1">
      <c r="A42" s="8" t="s">
        <v>108</v>
      </c>
      <c r="B42" s="9" t="s">
        <v>109</v>
      </c>
      <c r="C42" s="8" t="s">
        <v>110</v>
      </c>
      <c r="D42" s="12">
        <v>3.0</v>
      </c>
      <c r="E42" s="12">
        <v>4.0</v>
      </c>
      <c r="F42" s="10">
        <f t="shared" ref="F42:F43" si="8">IF(AND(D42&lt;&gt;"",E42&lt;&gt;""),E42/D42,"")</f>
        <v>1.333333333</v>
      </c>
    </row>
    <row r="43" ht="15.75" customHeight="1">
      <c r="A43" s="8" t="s">
        <v>111</v>
      </c>
      <c r="B43" s="9" t="s">
        <v>112</v>
      </c>
      <c r="C43" s="8" t="s">
        <v>113</v>
      </c>
      <c r="D43" s="12">
        <v>3.0</v>
      </c>
      <c r="E43" s="12">
        <v>4.0</v>
      </c>
      <c r="F43" s="10">
        <f t="shared" si="8"/>
        <v>1.333333333</v>
      </c>
    </row>
    <row r="44" ht="15.75" customHeight="1">
      <c r="A44" s="6" t="s">
        <v>114</v>
      </c>
      <c r="B44" s="7" t="s">
        <v>115</v>
      </c>
      <c r="C44" s="6"/>
      <c r="D44" s="6"/>
      <c r="E44" s="6"/>
      <c r="F44" s="6"/>
    </row>
    <row r="45" ht="15.75" customHeight="1">
      <c r="A45" s="8" t="s">
        <v>116</v>
      </c>
      <c r="B45" s="9" t="s">
        <v>117</v>
      </c>
      <c r="C45" s="8" t="s">
        <v>118</v>
      </c>
      <c r="D45" s="12">
        <v>3.0</v>
      </c>
      <c r="E45" s="12">
        <v>5.0</v>
      </c>
      <c r="F45" s="10">
        <f t="shared" ref="F45:F46" si="9">IF(AND(D45&lt;&gt;"",E45&lt;&gt;""),E45/D45,"")</f>
        <v>1.666666667</v>
      </c>
    </row>
    <row r="46" ht="15.75" customHeight="1">
      <c r="A46" s="8" t="s">
        <v>119</v>
      </c>
      <c r="B46" s="9" t="s">
        <v>120</v>
      </c>
      <c r="C46" s="8" t="s">
        <v>121</v>
      </c>
      <c r="D46" s="12">
        <v>4.0</v>
      </c>
      <c r="E46" s="12">
        <v>4.0</v>
      </c>
      <c r="F46" s="10">
        <f t="shared" si="9"/>
        <v>1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45.0"/>
    <col customWidth="1" min="3" max="3" width="8.0"/>
    <col customWidth="1" min="4" max="4" width="20.0"/>
    <col customWidth="1" min="5" max="5" width="22.0"/>
    <col customWidth="1" min="6" max="6" width="20.0"/>
    <col customWidth="1" min="7" max="26" width="8.71"/>
  </cols>
  <sheetData>
    <row r="1">
      <c r="A1" s="1" t="s">
        <v>127</v>
      </c>
    </row>
    <row r="2" ht="30.0" customHeight="1">
      <c r="A2" s="2" t="s">
        <v>123</v>
      </c>
    </row>
    <row r="3">
      <c r="A3" s="3" t="s">
        <v>2</v>
      </c>
      <c r="B3" s="3" t="s">
        <v>3</v>
      </c>
      <c r="C3" s="3" t="s">
        <v>4</v>
      </c>
      <c r="D3" s="3" t="s">
        <v>124</v>
      </c>
      <c r="E3" s="3" t="s">
        <v>125</v>
      </c>
      <c r="F3" s="3" t="s">
        <v>126</v>
      </c>
    </row>
    <row r="4">
      <c r="A4" s="4" t="s">
        <v>7</v>
      </c>
      <c r="B4" s="5" t="s">
        <v>8</v>
      </c>
      <c r="C4" s="4"/>
      <c r="D4" s="4"/>
      <c r="E4" s="4"/>
      <c r="F4" s="4"/>
    </row>
    <row r="5">
      <c r="A5" s="6" t="s">
        <v>9</v>
      </c>
      <c r="B5" s="7" t="s">
        <v>10</v>
      </c>
      <c r="C5" s="6"/>
      <c r="D5" s="6"/>
      <c r="E5" s="6"/>
      <c r="F5" s="6"/>
    </row>
    <row r="6">
      <c r="A6" s="8" t="s">
        <v>11</v>
      </c>
      <c r="B6" s="9" t="s">
        <v>12</v>
      </c>
      <c r="C6" s="8" t="s">
        <v>13</v>
      </c>
      <c r="D6" s="12">
        <v>1.0</v>
      </c>
      <c r="E6" s="12">
        <v>4.0</v>
      </c>
      <c r="F6" s="10">
        <f t="shared" ref="F6:F9" si="1">IF(AND(D6&lt;&gt;"",E6&lt;&gt;""),E6/D6,"")</f>
        <v>4</v>
      </c>
    </row>
    <row r="7">
      <c r="A7" s="8" t="s">
        <v>14</v>
      </c>
      <c r="B7" s="9" t="s">
        <v>15</v>
      </c>
      <c r="C7" s="8" t="s">
        <v>16</v>
      </c>
      <c r="D7" s="12">
        <v>1.0</v>
      </c>
      <c r="E7" s="12">
        <v>4.0</v>
      </c>
      <c r="F7" s="10">
        <f t="shared" si="1"/>
        <v>4</v>
      </c>
    </row>
    <row r="8">
      <c r="A8" s="8" t="s">
        <v>17</v>
      </c>
      <c r="B8" s="9" t="s">
        <v>18</v>
      </c>
      <c r="C8" s="8" t="s">
        <v>19</v>
      </c>
      <c r="D8" s="12">
        <v>1.0</v>
      </c>
      <c r="E8" s="12">
        <v>4.0</v>
      </c>
      <c r="F8" s="10">
        <f t="shared" si="1"/>
        <v>4</v>
      </c>
    </row>
    <row r="9">
      <c r="A9" s="8" t="s">
        <v>20</v>
      </c>
      <c r="B9" s="9" t="s">
        <v>21</v>
      </c>
      <c r="C9" s="8" t="s">
        <v>22</v>
      </c>
      <c r="D9" s="12">
        <v>3.0</v>
      </c>
      <c r="E9" s="12">
        <v>4.0</v>
      </c>
      <c r="F9" s="10">
        <f t="shared" si="1"/>
        <v>1.333333333</v>
      </c>
    </row>
    <row r="10">
      <c r="A10" s="6" t="s">
        <v>23</v>
      </c>
      <c r="B10" s="7" t="s">
        <v>24</v>
      </c>
      <c r="C10" s="6"/>
      <c r="D10" s="6"/>
      <c r="E10" s="6"/>
      <c r="F10" s="6"/>
    </row>
    <row r="11">
      <c r="A11" s="8" t="s">
        <v>25</v>
      </c>
      <c r="B11" s="9" t="s">
        <v>26</v>
      </c>
      <c r="C11" s="8" t="s">
        <v>27</v>
      </c>
      <c r="D11" s="12">
        <v>2.0</v>
      </c>
      <c r="E11" s="12">
        <v>3.0</v>
      </c>
      <c r="F11" s="10">
        <f t="shared" ref="F11:F13" si="2">IF(AND(D11&lt;&gt;"",E11&lt;&gt;""),E11/D11,"")</f>
        <v>1.5</v>
      </c>
    </row>
    <row r="12">
      <c r="A12" s="8" t="s">
        <v>28</v>
      </c>
      <c r="B12" s="9" t="s">
        <v>29</v>
      </c>
      <c r="C12" s="8" t="s">
        <v>30</v>
      </c>
      <c r="D12" s="12">
        <v>2.0</v>
      </c>
      <c r="E12" s="12">
        <v>4.0</v>
      </c>
      <c r="F12" s="10">
        <f t="shared" si="2"/>
        <v>2</v>
      </c>
    </row>
    <row r="13">
      <c r="A13" s="8" t="s">
        <v>31</v>
      </c>
      <c r="B13" s="9" t="s">
        <v>32</v>
      </c>
      <c r="C13" s="8" t="s">
        <v>33</v>
      </c>
      <c r="D13" s="12">
        <v>2.0</v>
      </c>
      <c r="E13" s="12">
        <v>2.0</v>
      </c>
      <c r="F13" s="10">
        <f t="shared" si="2"/>
        <v>1</v>
      </c>
    </row>
    <row r="14">
      <c r="A14" s="4" t="s">
        <v>34</v>
      </c>
      <c r="B14" s="5" t="s">
        <v>35</v>
      </c>
      <c r="C14" s="4"/>
      <c r="D14" s="4"/>
      <c r="E14" s="4"/>
      <c r="F14" s="4"/>
    </row>
    <row r="15">
      <c r="A15" s="6" t="s">
        <v>36</v>
      </c>
      <c r="B15" s="7" t="s">
        <v>37</v>
      </c>
      <c r="C15" s="6"/>
      <c r="D15" s="6"/>
      <c r="E15" s="6"/>
      <c r="F15" s="6"/>
    </row>
    <row r="16">
      <c r="A16" s="8" t="s">
        <v>38</v>
      </c>
      <c r="B16" s="9" t="s">
        <v>39</v>
      </c>
      <c r="C16" s="8" t="s">
        <v>40</v>
      </c>
      <c r="D16" s="12">
        <v>3.0</v>
      </c>
      <c r="E16" s="12">
        <v>3.0</v>
      </c>
      <c r="F16" s="10">
        <f t="shared" ref="F16:F18" si="3">IF(AND(D16&lt;&gt;"",E16&lt;&gt;""),E16/D16,"")</f>
        <v>1</v>
      </c>
    </row>
    <row r="17">
      <c r="A17" s="8" t="s">
        <v>41</v>
      </c>
      <c r="B17" s="9" t="s">
        <v>42</v>
      </c>
      <c r="C17" s="8" t="s">
        <v>43</v>
      </c>
      <c r="D17" s="12">
        <v>5.0</v>
      </c>
      <c r="E17" s="12">
        <v>4.0</v>
      </c>
      <c r="F17" s="10">
        <f t="shared" si="3"/>
        <v>0.8</v>
      </c>
    </row>
    <row r="18">
      <c r="A18" s="8" t="s">
        <v>44</v>
      </c>
      <c r="B18" s="9" t="s">
        <v>45</v>
      </c>
      <c r="C18" s="8" t="s">
        <v>46</v>
      </c>
      <c r="D18" s="12">
        <v>4.0</v>
      </c>
      <c r="E18" s="12">
        <v>3.0</v>
      </c>
      <c r="F18" s="10">
        <f t="shared" si="3"/>
        <v>0.75</v>
      </c>
    </row>
    <row r="19">
      <c r="A19" s="6" t="s">
        <v>47</v>
      </c>
      <c r="B19" s="7" t="s">
        <v>48</v>
      </c>
      <c r="C19" s="6"/>
      <c r="D19" s="6"/>
      <c r="E19" s="6"/>
      <c r="F19" s="6"/>
    </row>
    <row r="20">
      <c r="A20" s="8" t="s">
        <v>49</v>
      </c>
      <c r="B20" s="9" t="s">
        <v>50</v>
      </c>
      <c r="C20" s="8" t="s">
        <v>51</v>
      </c>
      <c r="D20" s="12">
        <v>5.0</v>
      </c>
      <c r="E20" s="12">
        <v>5.0</v>
      </c>
      <c r="F20" s="10">
        <f t="shared" ref="F20:F21" si="4">IF(AND(D20&lt;&gt;"",E20&lt;&gt;""),E20/D20,"")</f>
        <v>1</v>
      </c>
    </row>
    <row r="21" ht="15.75" customHeight="1">
      <c r="A21" s="8" t="s">
        <v>52</v>
      </c>
      <c r="B21" s="9" t="s">
        <v>53</v>
      </c>
      <c r="C21" s="8" t="s">
        <v>54</v>
      </c>
      <c r="D21" s="12">
        <v>2.0</v>
      </c>
      <c r="E21" s="12">
        <v>4.0</v>
      </c>
      <c r="F21" s="10">
        <f t="shared" si="4"/>
        <v>2</v>
      </c>
    </row>
    <row r="22" ht="15.75" customHeight="1">
      <c r="A22" s="4" t="s">
        <v>55</v>
      </c>
      <c r="B22" s="5" t="s">
        <v>56</v>
      </c>
      <c r="C22" s="4"/>
      <c r="D22" s="4"/>
      <c r="E22" s="4"/>
      <c r="F22" s="4"/>
    </row>
    <row r="23" ht="15.75" customHeight="1">
      <c r="A23" s="6" t="s">
        <v>57</v>
      </c>
      <c r="B23" s="7" t="s">
        <v>58</v>
      </c>
      <c r="C23" s="6"/>
      <c r="D23" s="6"/>
      <c r="E23" s="6"/>
      <c r="F23" s="6"/>
    </row>
    <row r="24" ht="15.75" customHeight="1">
      <c r="A24" s="8" t="s">
        <v>59</v>
      </c>
      <c r="B24" s="9" t="s">
        <v>60</v>
      </c>
      <c r="C24" s="8" t="s">
        <v>61</v>
      </c>
      <c r="D24" s="12">
        <v>2.0</v>
      </c>
      <c r="E24" s="12">
        <v>3.0</v>
      </c>
      <c r="F24" s="10">
        <f t="shared" ref="F24:F27" si="5">IF(AND(D24&lt;&gt;"",E24&lt;&gt;""),E24/D24,"")</f>
        <v>1.5</v>
      </c>
    </row>
    <row r="25" ht="15.75" customHeight="1">
      <c r="A25" s="8" t="s">
        <v>62</v>
      </c>
      <c r="B25" s="9" t="s">
        <v>63</v>
      </c>
      <c r="C25" s="8" t="s">
        <v>64</v>
      </c>
      <c r="D25" s="12">
        <v>2.0</v>
      </c>
      <c r="E25" s="12">
        <v>3.0</v>
      </c>
      <c r="F25" s="10">
        <f t="shared" si="5"/>
        <v>1.5</v>
      </c>
    </row>
    <row r="26" ht="15.75" customHeight="1">
      <c r="A26" s="8" t="s">
        <v>65</v>
      </c>
      <c r="B26" s="9" t="s">
        <v>66</v>
      </c>
      <c r="C26" s="8" t="s">
        <v>67</v>
      </c>
      <c r="D26" s="12">
        <v>3.0</v>
      </c>
      <c r="E26" s="12">
        <v>4.0</v>
      </c>
      <c r="F26" s="10">
        <f t="shared" si="5"/>
        <v>1.333333333</v>
      </c>
    </row>
    <row r="27" ht="15.75" customHeight="1">
      <c r="A27" s="8" t="s">
        <v>68</v>
      </c>
      <c r="B27" s="9" t="s">
        <v>69</v>
      </c>
      <c r="C27" s="8" t="s">
        <v>70</v>
      </c>
      <c r="D27" s="12">
        <v>2.0</v>
      </c>
      <c r="E27" s="12">
        <v>3.0</v>
      </c>
      <c r="F27" s="10">
        <f t="shared" si="5"/>
        <v>1.5</v>
      </c>
    </row>
    <row r="28" ht="15.75" customHeight="1">
      <c r="A28" s="6" t="s">
        <v>71</v>
      </c>
      <c r="B28" s="7" t="s">
        <v>72</v>
      </c>
      <c r="C28" s="6"/>
      <c r="D28" s="6"/>
      <c r="E28" s="6"/>
      <c r="F28" s="6"/>
    </row>
    <row r="29" ht="15.75" customHeight="1">
      <c r="A29" s="8" t="s">
        <v>73</v>
      </c>
      <c r="B29" s="9" t="s">
        <v>74</v>
      </c>
      <c r="C29" s="8" t="s">
        <v>75</v>
      </c>
      <c r="D29" s="12">
        <v>5.0</v>
      </c>
      <c r="E29" s="12">
        <v>5.0</v>
      </c>
      <c r="F29" s="10">
        <f t="shared" ref="F29:F33" si="6">IF(AND(D29&lt;&gt;"",E29&lt;&gt;""),E29/D29,"")</f>
        <v>1</v>
      </c>
    </row>
    <row r="30" ht="15.75" customHeight="1">
      <c r="A30" s="8" t="s">
        <v>76</v>
      </c>
      <c r="B30" s="9" t="s">
        <v>77</v>
      </c>
      <c r="C30" s="8" t="s">
        <v>78</v>
      </c>
      <c r="D30" s="12">
        <v>2.0</v>
      </c>
      <c r="E30" s="12">
        <v>4.0</v>
      </c>
      <c r="F30" s="10">
        <f t="shared" si="6"/>
        <v>2</v>
      </c>
    </row>
    <row r="31" ht="15.75" customHeight="1">
      <c r="A31" s="8" t="s">
        <v>79</v>
      </c>
      <c r="B31" s="9" t="s">
        <v>80</v>
      </c>
      <c r="C31" s="8" t="s">
        <v>81</v>
      </c>
      <c r="D31" s="12">
        <v>2.0</v>
      </c>
      <c r="E31" s="12">
        <v>3.0</v>
      </c>
      <c r="F31" s="10">
        <f t="shared" si="6"/>
        <v>1.5</v>
      </c>
    </row>
    <row r="32" ht="15.75" customHeight="1">
      <c r="A32" s="8" t="s">
        <v>82</v>
      </c>
      <c r="B32" s="9" t="s">
        <v>83</v>
      </c>
      <c r="C32" s="8" t="s">
        <v>84</v>
      </c>
      <c r="D32" s="12">
        <v>2.0</v>
      </c>
      <c r="E32" s="12">
        <v>2.0</v>
      </c>
      <c r="F32" s="10">
        <f t="shared" si="6"/>
        <v>1</v>
      </c>
    </row>
    <row r="33" ht="15.75" customHeight="1">
      <c r="A33" s="8" t="s">
        <v>85</v>
      </c>
      <c r="B33" s="9" t="s">
        <v>86</v>
      </c>
      <c r="C33" s="8" t="s">
        <v>87</v>
      </c>
      <c r="D33" s="12">
        <v>2.0</v>
      </c>
      <c r="E33" s="12">
        <v>3.0</v>
      </c>
      <c r="F33" s="10">
        <f t="shared" si="6"/>
        <v>1.5</v>
      </c>
    </row>
    <row r="34" ht="15.75" customHeight="1">
      <c r="A34" s="4" t="s">
        <v>88</v>
      </c>
      <c r="B34" s="5" t="s">
        <v>89</v>
      </c>
      <c r="C34" s="4"/>
      <c r="D34" s="4"/>
      <c r="E34" s="4"/>
      <c r="F34" s="4"/>
    </row>
    <row r="35" ht="15.75" customHeight="1">
      <c r="A35" s="6" t="s">
        <v>90</v>
      </c>
      <c r="B35" s="7" t="s">
        <v>91</v>
      </c>
      <c r="C35" s="6"/>
      <c r="D35" s="6"/>
      <c r="E35" s="6"/>
      <c r="F35" s="6"/>
    </row>
    <row r="36" ht="15.75" customHeight="1">
      <c r="A36" s="8" t="s">
        <v>92</v>
      </c>
      <c r="B36" s="9" t="s">
        <v>93</v>
      </c>
      <c r="C36" s="8" t="s">
        <v>94</v>
      </c>
      <c r="D36" s="12">
        <v>3.0</v>
      </c>
      <c r="E36" s="12">
        <v>2.0</v>
      </c>
      <c r="F36" s="10">
        <f t="shared" ref="F36:F39" si="7">IF(AND(D36&lt;&gt;"",E36&lt;&gt;""),E36/D36,"")</f>
        <v>0.6666666667</v>
      </c>
    </row>
    <row r="37" ht="15.75" customHeight="1">
      <c r="A37" s="8" t="s">
        <v>95</v>
      </c>
      <c r="B37" s="9" t="s">
        <v>96</v>
      </c>
      <c r="C37" s="8" t="s">
        <v>97</v>
      </c>
      <c r="D37" s="12">
        <v>3.0</v>
      </c>
      <c r="E37" s="12">
        <v>4.0</v>
      </c>
      <c r="F37" s="10">
        <f t="shared" si="7"/>
        <v>1.333333333</v>
      </c>
    </row>
    <row r="38" ht="15.75" customHeight="1">
      <c r="A38" s="8" t="s">
        <v>98</v>
      </c>
      <c r="B38" s="9" t="s">
        <v>99</v>
      </c>
      <c r="C38" s="8" t="s">
        <v>100</v>
      </c>
      <c r="D38" s="12">
        <v>2.0</v>
      </c>
      <c r="E38" s="12">
        <v>3.0</v>
      </c>
      <c r="F38" s="10">
        <f t="shared" si="7"/>
        <v>1.5</v>
      </c>
    </row>
    <row r="39" ht="15.75" customHeight="1">
      <c r="A39" s="8" t="s">
        <v>101</v>
      </c>
      <c r="B39" s="9" t="s">
        <v>102</v>
      </c>
      <c r="C39" s="8" t="s">
        <v>103</v>
      </c>
      <c r="D39" s="12">
        <v>2.0</v>
      </c>
      <c r="E39" s="12">
        <v>3.0</v>
      </c>
      <c r="F39" s="10">
        <f t="shared" si="7"/>
        <v>1.5</v>
      </c>
    </row>
    <row r="40" ht="15.75" customHeight="1">
      <c r="A40" s="4" t="s">
        <v>104</v>
      </c>
      <c r="B40" s="5" t="s">
        <v>105</v>
      </c>
      <c r="C40" s="4"/>
      <c r="D40" s="4"/>
      <c r="E40" s="4"/>
      <c r="F40" s="4"/>
    </row>
    <row r="41" ht="15.75" customHeight="1">
      <c r="A41" s="6" t="s">
        <v>106</v>
      </c>
      <c r="B41" s="7" t="s">
        <v>107</v>
      </c>
      <c r="C41" s="6"/>
      <c r="D41" s="6"/>
      <c r="E41" s="6"/>
      <c r="F41" s="6"/>
    </row>
    <row r="42" ht="15.75" customHeight="1">
      <c r="A42" s="8" t="s">
        <v>108</v>
      </c>
      <c r="B42" s="9" t="s">
        <v>109</v>
      </c>
      <c r="C42" s="8" t="s">
        <v>110</v>
      </c>
      <c r="D42" s="12">
        <v>5.0</v>
      </c>
      <c r="E42" s="12">
        <v>3.0</v>
      </c>
      <c r="F42" s="10">
        <f t="shared" ref="F42:F43" si="8">IF(AND(D42&lt;&gt;"",E42&lt;&gt;""),E42/D42,"")</f>
        <v>0.6</v>
      </c>
    </row>
    <row r="43" ht="15.75" customHeight="1">
      <c r="A43" s="8" t="s">
        <v>111</v>
      </c>
      <c r="B43" s="9" t="s">
        <v>112</v>
      </c>
      <c r="C43" s="8" t="s">
        <v>113</v>
      </c>
      <c r="D43" s="12">
        <v>5.0</v>
      </c>
      <c r="E43" s="12">
        <v>3.0</v>
      </c>
      <c r="F43" s="10">
        <f t="shared" si="8"/>
        <v>0.6</v>
      </c>
    </row>
    <row r="44" ht="15.75" customHeight="1">
      <c r="A44" s="6" t="s">
        <v>114</v>
      </c>
      <c r="B44" s="7" t="s">
        <v>115</v>
      </c>
      <c r="C44" s="6"/>
      <c r="D44" s="6"/>
      <c r="E44" s="6"/>
      <c r="F44" s="6"/>
    </row>
    <row r="45" ht="15.75" customHeight="1">
      <c r="A45" s="8" t="s">
        <v>116</v>
      </c>
      <c r="B45" s="9" t="s">
        <v>117</v>
      </c>
      <c r="C45" s="8" t="s">
        <v>118</v>
      </c>
      <c r="D45" s="12">
        <v>4.0</v>
      </c>
      <c r="E45" s="12">
        <v>4.0</v>
      </c>
      <c r="F45" s="10">
        <f t="shared" ref="F45:F46" si="9">IF(AND(D45&lt;&gt;"",E45&lt;&gt;""),E45/D45,"")</f>
        <v>1</v>
      </c>
    </row>
    <row r="46" ht="15.75" customHeight="1">
      <c r="A46" s="8" t="s">
        <v>119</v>
      </c>
      <c r="B46" s="9" t="s">
        <v>120</v>
      </c>
      <c r="C46" s="8" t="s">
        <v>121</v>
      </c>
      <c r="D46" s="12">
        <v>3.0</v>
      </c>
      <c r="E46" s="12">
        <v>3.0</v>
      </c>
      <c r="F46" s="10">
        <f t="shared" si="9"/>
        <v>1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45.0"/>
    <col customWidth="1" min="3" max="3" width="8.0"/>
    <col customWidth="1" min="4" max="4" width="20.0"/>
    <col customWidth="1" min="5" max="5" width="22.0"/>
    <col customWidth="1" min="6" max="6" width="20.0"/>
    <col customWidth="1" min="7" max="26" width="8.71"/>
  </cols>
  <sheetData>
    <row r="1">
      <c r="A1" s="1" t="s">
        <v>128</v>
      </c>
    </row>
    <row r="2" ht="30.0" customHeight="1">
      <c r="A2" s="2" t="s">
        <v>123</v>
      </c>
    </row>
    <row r="3">
      <c r="A3" s="3" t="s">
        <v>2</v>
      </c>
      <c r="B3" s="3" t="s">
        <v>3</v>
      </c>
      <c r="C3" s="3" t="s">
        <v>4</v>
      </c>
      <c r="D3" s="3" t="s">
        <v>124</v>
      </c>
      <c r="E3" s="3" t="s">
        <v>125</v>
      </c>
      <c r="F3" s="3" t="s">
        <v>126</v>
      </c>
    </row>
    <row r="4">
      <c r="A4" s="4" t="s">
        <v>7</v>
      </c>
      <c r="B4" s="5" t="s">
        <v>8</v>
      </c>
      <c r="C4" s="4"/>
      <c r="D4" s="4"/>
      <c r="E4" s="4"/>
      <c r="F4" s="4"/>
    </row>
    <row r="5">
      <c r="A5" s="6" t="s">
        <v>9</v>
      </c>
      <c r="B5" s="7" t="s">
        <v>10</v>
      </c>
      <c r="C5" s="6"/>
      <c r="D5" s="6"/>
      <c r="E5" s="6"/>
      <c r="F5" s="6"/>
    </row>
    <row r="6">
      <c r="A6" s="8" t="s">
        <v>11</v>
      </c>
      <c r="B6" s="9" t="s">
        <v>12</v>
      </c>
      <c r="C6" s="8" t="s">
        <v>13</v>
      </c>
      <c r="D6" s="13"/>
      <c r="E6" s="13"/>
      <c r="F6" s="10" t="str">
        <f t="shared" ref="F6:F9" si="1">IF(AND(D6&lt;&gt;"",E6&lt;&gt;""),E6/D6,"")</f>
        <v/>
      </c>
    </row>
    <row r="7">
      <c r="A7" s="8" t="s">
        <v>14</v>
      </c>
      <c r="B7" s="9" t="s">
        <v>15</v>
      </c>
      <c r="C7" s="8" t="s">
        <v>16</v>
      </c>
      <c r="D7" s="13"/>
      <c r="E7" s="13"/>
      <c r="F7" s="10" t="str">
        <f t="shared" si="1"/>
        <v/>
      </c>
    </row>
    <row r="8">
      <c r="A8" s="8" t="s">
        <v>17</v>
      </c>
      <c r="B8" s="9" t="s">
        <v>18</v>
      </c>
      <c r="C8" s="8" t="s">
        <v>19</v>
      </c>
      <c r="D8" s="13"/>
      <c r="E8" s="13"/>
      <c r="F8" s="10" t="str">
        <f t="shared" si="1"/>
        <v/>
      </c>
    </row>
    <row r="9">
      <c r="A9" s="8" t="s">
        <v>20</v>
      </c>
      <c r="B9" s="9" t="s">
        <v>21</v>
      </c>
      <c r="C9" s="8" t="s">
        <v>22</v>
      </c>
      <c r="D9" s="13"/>
      <c r="E9" s="13"/>
      <c r="F9" s="10" t="str">
        <f t="shared" si="1"/>
        <v/>
      </c>
    </row>
    <row r="10">
      <c r="A10" s="6" t="s">
        <v>23</v>
      </c>
      <c r="B10" s="7" t="s">
        <v>24</v>
      </c>
      <c r="C10" s="6"/>
      <c r="D10" s="6"/>
      <c r="E10" s="6"/>
      <c r="F10" s="6"/>
    </row>
    <row r="11">
      <c r="A11" s="8" t="s">
        <v>25</v>
      </c>
      <c r="B11" s="9" t="s">
        <v>26</v>
      </c>
      <c r="C11" s="8" t="s">
        <v>27</v>
      </c>
      <c r="D11" s="13"/>
      <c r="E11" s="13"/>
      <c r="F11" s="10" t="str">
        <f t="shared" ref="F11:F13" si="2">IF(AND(D11&lt;&gt;"",E11&lt;&gt;""),E11/D11,"")</f>
        <v/>
      </c>
    </row>
    <row r="12">
      <c r="A12" s="8" t="s">
        <v>28</v>
      </c>
      <c r="B12" s="9" t="s">
        <v>29</v>
      </c>
      <c r="C12" s="8" t="s">
        <v>30</v>
      </c>
      <c r="D12" s="13"/>
      <c r="E12" s="13"/>
      <c r="F12" s="10" t="str">
        <f t="shared" si="2"/>
        <v/>
      </c>
    </row>
    <row r="13">
      <c r="A13" s="8" t="s">
        <v>31</v>
      </c>
      <c r="B13" s="9" t="s">
        <v>32</v>
      </c>
      <c r="C13" s="8" t="s">
        <v>33</v>
      </c>
      <c r="D13" s="13"/>
      <c r="E13" s="13"/>
      <c r="F13" s="10" t="str">
        <f t="shared" si="2"/>
        <v/>
      </c>
    </row>
    <row r="14">
      <c r="A14" s="4" t="s">
        <v>34</v>
      </c>
      <c r="B14" s="5" t="s">
        <v>35</v>
      </c>
      <c r="C14" s="4"/>
      <c r="D14" s="4"/>
      <c r="E14" s="4"/>
      <c r="F14" s="4"/>
    </row>
    <row r="15">
      <c r="A15" s="6" t="s">
        <v>36</v>
      </c>
      <c r="B15" s="7" t="s">
        <v>37</v>
      </c>
      <c r="C15" s="6"/>
      <c r="D15" s="6"/>
      <c r="E15" s="6"/>
      <c r="F15" s="6"/>
    </row>
    <row r="16">
      <c r="A16" s="8" t="s">
        <v>38</v>
      </c>
      <c r="B16" s="9" t="s">
        <v>39</v>
      </c>
      <c r="C16" s="8" t="s">
        <v>40</v>
      </c>
      <c r="D16" s="13"/>
      <c r="E16" s="13"/>
      <c r="F16" s="10" t="str">
        <f t="shared" ref="F16:F18" si="3">IF(AND(D16&lt;&gt;"",E16&lt;&gt;""),E16/D16,"")</f>
        <v/>
      </c>
    </row>
    <row r="17">
      <c r="A17" s="8" t="s">
        <v>41</v>
      </c>
      <c r="B17" s="9" t="s">
        <v>42</v>
      </c>
      <c r="C17" s="8" t="s">
        <v>43</v>
      </c>
      <c r="D17" s="13"/>
      <c r="E17" s="13"/>
      <c r="F17" s="10" t="str">
        <f t="shared" si="3"/>
        <v/>
      </c>
    </row>
    <row r="18">
      <c r="A18" s="8" t="s">
        <v>44</v>
      </c>
      <c r="B18" s="9" t="s">
        <v>45</v>
      </c>
      <c r="C18" s="8" t="s">
        <v>46</v>
      </c>
      <c r="D18" s="13"/>
      <c r="E18" s="13"/>
      <c r="F18" s="10" t="str">
        <f t="shared" si="3"/>
        <v/>
      </c>
    </row>
    <row r="19">
      <c r="A19" s="6" t="s">
        <v>47</v>
      </c>
      <c r="B19" s="7" t="s">
        <v>48</v>
      </c>
      <c r="C19" s="6"/>
      <c r="D19" s="6"/>
      <c r="E19" s="6"/>
      <c r="F19" s="6"/>
    </row>
    <row r="20">
      <c r="A20" s="8" t="s">
        <v>49</v>
      </c>
      <c r="B20" s="9" t="s">
        <v>50</v>
      </c>
      <c r="C20" s="8" t="s">
        <v>51</v>
      </c>
      <c r="D20" s="13"/>
      <c r="E20" s="13"/>
      <c r="F20" s="10" t="str">
        <f t="shared" ref="F20:F21" si="4">IF(AND(D20&lt;&gt;"",E20&lt;&gt;""),E20/D20,"")</f>
        <v/>
      </c>
    </row>
    <row r="21" ht="15.75" customHeight="1">
      <c r="A21" s="8" t="s">
        <v>52</v>
      </c>
      <c r="B21" s="9" t="s">
        <v>53</v>
      </c>
      <c r="C21" s="8" t="s">
        <v>54</v>
      </c>
      <c r="D21" s="13"/>
      <c r="E21" s="13"/>
      <c r="F21" s="10" t="str">
        <f t="shared" si="4"/>
        <v/>
      </c>
    </row>
    <row r="22" ht="15.75" customHeight="1">
      <c r="A22" s="4" t="s">
        <v>55</v>
      </c>
      <c r="B22" s="5" t="s">
        <v>56</v>
      </c>
      <c r="C22" s="4"/>
      <c r="D22" s="4"/>
      <c r="E22" s="4"/>
      <c r="F22" s="4"/>
    </row>
    <row r="23" ht="15.75" customHeight="1">
      <c r="A23" s="6" t="s">
        <v>57</v>
      </c>
      <c r="B23" s="7" t="s">
        <v>58</v>
      </c>
      <c r="C23" s="6"/>
      <c r="D23" s="6"/>
      <c r="E23" s="6"/>
      <c r="F23" s="6"/>
    </row>
    <row r="24" ht="15.75" customHeight="1">
      <c r="A24" s="8" t="s">
        <v>59</v>
      </c>
      <c r="B24" s="9" t="s">
        <v>60</v>
      </c>
      <c r="C24" s="8" t="s">
        <v>61</v>
      </c>
      <c r="D24" s="13"/>
      <c r="E24" s="13"/>
      <c r="F24" s="10" t="str">
        <f t="shared" ref="F24:F27" si="5">IF(AND(D24&lt;&gt;"",E24&lt;&gt;""),E24/D24,"")</f>
        <v/>
      </c>
    </row>
    <row r="25" ht="15.75" customHeight="1">
      <c r="A25" s="8" t="s">
        <v>62</v>
      </c>
      <c r="B25" s="9" t="s">
        <v>63</v>
      </c>
      <c r="C25" s="8" t="s">
        <v>64</v>
      </c>
      <c r="D25" s="13"/>
      <c r="E25" s="13"/>
      <c r="F25" s="10" t="str">
        <f t="shared" si="5"/>
        <v/>
      </c>
    </row>
    <row r="26" ht="15.75" customHeight="1">
      <c r="A26" s="8" t="s">
        <v>65</v>
      </c>
      <c r="B26" s="9" t="s">
        <v>66</v>
      </c>
      <c r="C26" s="8" t="s">
        <v>67</v>
      </c>
      <c r="D26" s="13"/>
      <c r="E26" s="13"/>
      <c r="F26" s="10" t="str">
        <f t="shared" si="5"/>
        <v/>
      </c>
    </row>
    <row r="27" ht="15.75" customHeight="1">
      <c r="A27" s="8" t="s">
        <v>68</v>
      </c>
      <c r="B27" s="9" t="s">
        <v>69</v>
      </c>
      <c r="C27" s="8" t="s">
        <v>70</v>
      </c>
      <c r="D27" s="13"/>
      <c r="E27" s="13"/>
      <c r="F27" s="10" t="str">
        <f t="shared" si="5"/>
        <v/>
      </c>
    </row>
    <row r="28" ht="15.75" customHeight="1">
      <c r="A28" s="6" t="s">
        <v>71</v>
      </c>
      <c r="B28" s="7" t="s">
        <v>72</v>
      </c>
      <c r="C28" s="6"/>
      <c r="D28" s="6"/>
      <c r="E28" s="6"/>
      <c r="F28" s="6"/>
    </row>
    <row r="29" ht="15.75" customHeight="1">
      <c r="A29" s="8" t="s">
        <v>73</v>
      </c>
      <c r="B29" s="9" t="s">
        <v>74</v>
      </c>
      <c r="C29" s="8" t="s">
        <v>75</v>
      </c>
      <c r="D29" s="13"/>
      <c r="E29" s="13"/>
      <c r="F29" s="10" t="str">
        <f t="shared" ref="F29:F33" si="6">IF(AND(D29&lt;&gt;"",E29&lt;&gt;""),E29/D29,"")</f>
        <v/>
      </c>
    </row>
    <row r="30" ht="15.75" customHeight="1">
      <c r="A30" s="8" t="s">
        <v>76</v>
      </c>
      <c r="B30" s="9" t="s">
        <v>77</v>
      </c>
      <c r="C30" s="8" t="s">
        <v>78</v>
      </c>
      <c r="D30" s="13"/>
      <c r="E30" s="13"/>
      <c r="F30" s="10" t="str">
        <f t="shared" si="6"/>
        <v/>
      </c>
    </row>
    <row r="31" ht="15.75" customHeight="1">
      <c r="A31" s="8" t="s">
        <v>79</v>
      </c>
      <c r="B31" s="9" t="s">
        <v>80</v>
      </c>
      <c r="C31" s="8" t="s">
        <v>81</v>
      </c>
      <c r="D31" s="13"/>
      <c r="E31" s="13"/>
      <c r="F31" s="10" t="str">
        <f t="shared" si="6"/>
        <v/>
      </c>
    </row>
    <row r="32" ht="15.75" customHeight="1">
      <c r="A32" s="8" t="s">
        <v>82</v>
      </c>
      <c r="B32" s="9" t="s">
        <v>83</v>
      </c>
      <c r="C32" s="8" t="s">
        <v>84</v>
      </c>
      <c r="D32" s="13"/>
      <c r="E32" s="13"/>
      <c r="F32" s="10" t="str">
        <f t="shared" si="6"/>
        <v/>
      </c>
    </row>
    <row r="33" ht="15.75" customHeight="1">
      <c r="A33" s="8" t="s">
        <v>85</v>
      </c>
      <c r="B33" s="9" t="s">
        <v>86</v>
      </c>
      <c r="C33" s="8" t="s">
        <v>87</v>
      </c>
      <c r="D33" s="13"/>
      <c r="E33" s="13"/>
      <c r="F33" s="10" t="str">
        <f t="shared" si="6"/>
        <v/>
      </c>
    </row>
    <row r="34" ht="15.75" customHeight="1">
      <c r="A34" s="4" t="s">
        <v>88</v>
      </c>
      <c r="B34" s="5" t="s">
        <v>89</v>
      </c>
      <c r="C34" s="4"/>
      <c r="D34" s="4"/>
      <c r="E34" s="4"/>
      <c r="F34" s="4"/>
    </row>
    <row r="35" ht="15.75" customHeight="1">
      <c r="A35" s="6" t="s">
        <v>90</v>
      </c>
      <c r="B35" s="7" t="s">
        <v>91</v>
      </c>
      <c r="C35" s="6"/>
      <c r="D35" s="6"/>
      <c r="E35" s="6"/>
      <c r="F35" s="6"/>
    </row>
    <row r="36" ht="15.75" customHeight="1">
      <c r="A36" s="8" t="s">
        <v>92</v>
      </c>
      <c r="B36" s="9" t="s">
        <v>93</v>
      </c>
      <c r="C36" s="8" t="s">
        <v>94</v>
      </c>
      <c r="D36" s="13"/>
      <c r="E36" s="13"/>
      <c r="F36" s="10" t="str">
        <f t="shared" ref="F36:F39" si="7">IF(AND(D36&lt;&gt;"",E36&lt;&gt;""),E36/D36,"")</f>
        <v/>
      </c>
    </row>
    <row r="37" ht="15.75" customHeight="1">
      <c r="A37" s="8" t="s">
        <v>95</v>
      </c>
      <c r="B37" s="9" t="s">
        <v>96</v>
      </c>
      <c r="C37" s="8" t="s">
        <v>97</v>
      </c>
      <c r="D37" s="13"/>
      <c r="E37" s="13"/>
      <c r="F37" s="10" t="str">
        <f t="shared" si="7"/>
        <v/>
      </c>
    </row>
    <row r="38" ht="15.75" customHeight="1">
      <c r="A38" s="8" t="s">
        <v>98</v>
      </c>
      <c r="B38" s="9" t="s">
        <v>99</v>
      </c>
      <c r="C38" s="8" t="s">
        <v>100</v>
      </c>
      <c r="D38" s="13"/>
      <c r="E38" s="13"/>
      <c r="F38" s="10" t="str">
        <f t="shared" si="7"/>
        <v/>
      </c>
    </row>
    <row r="39" ht="15.75" customHeight="1">
      <c r="A39" s="8" t="s">
        <v>101</v>
      </c>
      <c r="B39" s="9" t="s">
        <v>102</v>
      </c>
      <c r="C39" s="8" t="s">
        <v>103</v>
      </c>
      <c r="D39" s="13"/>
      <c r="E39" s="13"/>
      <c r="F39" s="10" t="str">
        <f t="shared" si="7"/>
        <v/>
      </c>
    </row>
    <row r="40" ht="15.75" customHeight="1">
      <c r="A40" s="4" t="s">
        <v>104</v>
      </c>
      <c r="B40" s="5" t="s">
        <v>105</v>
      </c>
      <c r="C40" s="4"/>
      <c r="D40" s="4"/>
      <c r="E40" s="4"/>
      <c r="F40" s="4"/>
    </row>
    <row r="41" ht="15.75" customHeight="1">
      <c r="A41" s="6" t="s">
        <v>106</v>
      </c>
      <c r="B41" s="7" t="s">
        <v>107</v>
      </c>
      <c r="C41" s="6"/>
      <c r="D41" s="6"/>
      <c r="E41" s="6"/>
      <c r="F41" s="6"/>
    </row>
    <row r="42" ht="15.75" customHeight="1">
      <c r="A42" s="8" t="s">
        <v>108</v>
      </c>
      <c r="B42" s="9" t="s">
        <v>109</v>
      </c>
      <c r="C42" s="8" t="s">
        <v>110</v>
      </c>
      <c r="D42" s="13"/>
      <c r="E42" s="13"/>
      <c r="F42" s="10" t="str">
        <f t="shared" ref="F42:F43" si="8">IF(AND(D42&lt;&gt;"",E42&lt;&gt;""),E42/D42,"")</f>
        <v/>
      </c>
    </row>
    <row r="43" ht="15.75" customHeight="1">
      <c r="A43" s="8" t="s">
        <v>111</v>
      </c>
      <c r="B43" s="9" t="s">
        <v>112</v>
      </c>
      <c r="C43" s="8" t="s">
        <v>113</v>
      </c>
      <c r="D43" s="13"/>
      <c r="E43" s="13"/>
      <c r="F43" s="10" t="str">
        <f t="shared" si="8"/>
        <v/>
      </c>
    </row>
    <row r="44" ht="15.75" customHeight="1">
      <c r="A44" s="6" t="s">
        <v>114</v>
      </c>
      <c r="B44" s="7" t="s">
        <v>115</v>
      </c>
      <c r="C44" s="6"/>
      <c r="D44" s="6"/>
      <c r="E44" s="6"/>
      <c r="F44" s="6"/>
    </row>
    <row r="45" ht="15.75" customHeight="1">
      <c r="A45" s="8" t="s">
        <v>116</v>
      </c>
      <c r="B45" s="9" t="s">
        <v>117</v>
      </c>
      <c r="C45" s="8" t="s">
        <v>118</v>
      </c>
      <c r="D45" s="13"/>
      <c r="E45" s="13"/>
      <c r="F45" s="10" t="str">
        <f t="shared" ref="F45:F46" si="9">IF(AND(D45&lt;&gt;"",E45&lt;&gt;""),E45/D45,"")</f>
        <v/>
      </c>
    </row>
    <row r="46" ht="15.75" customHeight="1">
      <c r="A46" s="8" t="s">
        <v>119</v>
      </c>
      <c r="B46" s="9" t="s">
        <v>120</v>
      </c>
      <c r="C46" s="8" t="s">
        <v>121</v>
      </c>
      <c r="D46" s="13"/>
      <c r="E46" s="13"/>
      <c r="F46" s="10" t="str">
        <f t="shared" si="9"/>
        <v/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45.0"/>
    <col customWidth="1" min="3" max="3" width="8.0"/>
    <col customWidth="1" min="4" max="4" width="20.0"/>
    <col customWidth="1" min="5" max="5" width="22.0"/>
    <col customWidth="1" min="6" max="6" width="20.0"/>
    <col customWidth="1" min="7" max="26" width="8.71"/>
  </cols>
  <sheetData>
    <row r="1">
      <c r="A1" s="1" t="s">
        <v>129</v>
      </c>
    </row>
    <row r="2" ht="30.0" customHeight="1">
      <c r="A2" s="2" t="s">
        <v>123</v>
      </c>
    </row>
    <row r="3">
      <c r="A3" s="3" t="s">
        <v>2</v>
      </c>
      <c r="B3" s="3" t="s">
        <v>3</v>
      </c>
      <c r="C3" s="3" t="s">
        <v>4</v>
      </c>
      <c r="D3" s="3" t="s">
        <v>124</v>
      </c>
      <c r="E3" s="3" t="s">
        <v>125</v>
      </c>
      <c r="F3" s="3" t="s">
        <v>126</v>
      </c>
    </row>
    <row r="4">
      <c r="A4" s="4" t="s">
        <v>7</v>
      </c>
      <c r="B4" s="5" t="s">
        <v>8</v>
      </c>
      <c r="C4" s="4"/>
      <c r="D4" s="4"/>
      <c r="E4" s="4"/>
      <c r="F4" s="4"/>
    </row>
    <row r="5">
      <c r="A5" s="6" t="s">
        <v>9</v>
      </c>
      <c r="B5" s="7" t="s">
        <v>10</v>
      </c>
      <c r="C5" s="6"/>
      <c r="D5" s="6"/>
      <c r="E5" s="6"/>
      <c r="F5" s="6"/>
    </row>
    <row r="6">
      <c r="A6" s="8" t="s">
        <v>11</v>
      </c>
      <c r="B6" s="9" t="s">
        <v>12</v>
      </c>
      <c r="C6" s="8" t="s">
        <v>13</v>
      </c>
      <c r="D6" s="12">
        <v>2.0</v>
      </c>
      <c r="E6" s="12">
        <v>4.0</v>
      </c>
      <c r="F6" s="10">
        <f t="shared" ref="F6:F9" si="1">IF(AND(D6&lt;&gt;"",E6&lt;&gt;""),E6/D6,"")</f>
        <v>2</v>
      </c>
    </row>
    <row r="7">
      <c r="A7" s="8" t="s">
        <v>14</v>
      </c>
      <c r="B7" s="9" t="s">
        <v>15</v>
      </c>
      <c r="C7" s="8" t="s">
        <v>16</v>
      </c>
      <c r="D7" s="12">
        <v>2.0</v>
      </c>
      <c r="E7" s="12">
        <v>4.0</v>
      </c>
      <c r="F7" s="10">
        <f t="shared" si="1"/>
        <v>2</v>
      </c>
    </row>
    <row r="8">
      <c r="A8" s="8" t="s">
        <v>17</v>
      </c>
      <c r="B8" s="9" t="s">
        <v>18</v>
      </c>
      <c r="C8" s="8" t="s">
        <v>19</v>
      </c>
      <c r="D8" s="12">
        <v>1.0</v>
      </c>
      <c r="E8" s="12">
        <v>5.0</v>
      </c>
      <c r="F8" s="10">
        <f t="shared" si="1"/>
        <v>5</v>
      </c>
    </row>
    <row r="9">
      <c r="A9" s="8" t="s">
        <v>20</v>
      </c>
      <c r="B9" s="9" t="s">
        <v>21</v>
      </c>
      <c r="C9" s="8" t="s">
        <v>22</v>
      </c>
      <c r="D9" s="12">
        <v>5.0</v>
      </c>
      <c r="E9" s="12">
        <v>5.0</v>
      </c>
      <c r="F9" s="10">
        <f t="shared" si="1"/>
        <v>1</v>
      </c>
    </row>
    <row r="10">
      <c r="A10" s="6" t="s">
        <v>23</v>
      </c>
      <c r="B10" s="7" t="s">
        <v>24</v>
      </c>
      <c r="C10" s="6"/>
      <c r="D10" s="6"/>
      <c r="E10" s="6"/>
      <c r="F10" s="6"/>
    </row>
    <row r="11">
      <c r="A11" s="8" t="s">
        <v>25</v>
      </c>
      <c r="B11" s="9" t="s">
        <v>26</v>
      </c>
      <c r="C11" s="8" t="s">
        <v>27</v>
      </c>
      <c r="D11" s="12">
        <v>2.0</v>
      </c>
      <c r="E11" s="12">
        <v>4.0</v>
      </c>
      <c r="F11" s="10">
        <f t="shared" ref="F11:F13" si="2">IF(AND(D11&lt;&gt;"",E11&lt;&gt;""),E11/D11,"")</f>
        <v>2</v>
      </c>
    </row>
    <row r="12">
      <c r="A12" s="8" t="s">
        <v>28</v>
      </c>
      <c r="B12" s="9" t="s">
        <v>29</v>
      </c>
      <c r="C12" s="8" t="s">
        <v>30</v>
      </c>
      <c r="D12" s="12">
        <v>1.0</v>
      </c>
      <c r="E12" s="12">
        <v>5.0</v>
      </c>
      <c r="F12" s="10">
        <f t="shared" si="2"/>
        <v>5</v>
      </c>
    </row>
    <row r="13">
      <c r="A13" s="8" t="s">
        <v>31</v>
      </c>
      <c r="B13" s="9" t="s">
        <v>32</v>
      </c>
      <c r="C13" s="8" t="s">
        <v>33</v>
      </c>
      <c r="D13" s="12">
        <v>1.0</v>
      </c>
      <c r="E13" s="12">
        <v>4.0</v>
      </c>
      <c r="F13" s="10">
        <f t="shared" si="2"/>
        <v>4</v>
      </c>
    </row>
    <row r="14">
      <c r="A14" s="4" t="s">
        <v>34</v>
      </c>
      <c r="B14" s="5" t="s">
        <v>35</v>
      </c>
      <c r="C14" s="4"/>
      <c r="D14" s="4"/>
      <c r="E14" s="4"/>
      <c r="F14" s="4"/>
    </row>
    <row r="15">
      <c r="A15" s="6" t="s">
        <v>36</v>
      </c>
      <c r="B15" s="7" t="s">
        <v>37</v>
      </c>
      <c r="C15" s="6"/>
      <c r="D15" s="6"/>
      <c r="E15" s="6"/>
      <c r="F15" s="6"/>
    </row>
    <row r="16">
      <c r="A16" s="8" t="s">
        <v>38</v>
      </c>
      <c r="B16" s="9" t="s">
        <v>39</v>
      </c>
      <c r="C16" s="8" t="s">
        <v>40</v>
      </c>
      <c r="D16" s="12">
        <v>2.0</v>
      </c>
      <c r="E16" s="12">
        <v>5.0</v>
      </c>
      <c r="F16" s="10">
        <f t="shared" ref="F16:F18" si="3">IF(AND(D16&lt;&gt;"",E16&lt;&gt;""),E16/D16,"")</f>
        <v>2.5</v>
      </c>
    </row>
    <row r="17">
      <c r="A17" s="8" t="s">
        <v>41</v>
      </c>
      <c r="B17" s="9" t="s">
        <v>42</v>
      </c>
      <c r="C17" s="8" t="s">
        <v>43</v>
      </c>
      <c r="D17" s="12">
        <v>2.0</v>
      </c>
      <c r="E17" s="12">
        <v>5.0</v>
      </c>
      <c r="F17" s="10">
        <f t="shared" si="3"/>
        <v>2.5</v>
      </c>
    </row>
    <row r="18">
      <c r="A18" s="8" t="s">
        <v>44</v>
      </c>
      <c r="B18" s="9" t="s">
        <v>45</v>
      </c>
      <c r="C18" s="8" t="s">
        <v>46</v>
      </c>
      <c r="D18" s="12">
        <v>2.0</v>
      </c>
      <c r="E18" s="12">
        <v>1.0</v>
      </c>
      <c r="F18" s="10">
        <f t="shared" si="3"/>
        <v>0.5</v>
      </c>
    </row>
    <row r="19">
      <c r="A19" s="6" t="s">
        <v>47</v>
      </c>
      <c r="B19" s="7" t="s">
        <v>48</v>
      </c>
      <c r="C19" s="6"/>
      <c r="D19" s="6"/>
      <c r="E19" s="6"/>
      <c r="F19" s="6"/>
    </row>
    <row r="20">
      <c r="A20" s="8" t="s">
        <v>49</v>
      </c>
      <c r="B20" s="9" t="s">
        <v>50</v>
      </c>
      <c r="C20" s="8" t="s">
        <v>51</v>
      </c>
      <c r="D20" s="12">
        <v>3.0</v>
      </c>
      <c r="E20" s="12">
        <v>4.0</v>
      </c>
      <c r="F20" s="10">
        <f t="shared" ref="F20:F21" si="4">IF(AND(D20&lt;&gt;"",E20&lt;&gt;""),E20/D20,"")</f>
        <v>1.333333333</v>
      </c>
    </row>
    <row r="21" ht="15.75" customHeight="1">
      <c r="A21" s="8" t="s">
        <v>52</v>
      </c>
      <c r="B21" s="9" t="s">
        <v>53</v>
      </c>
      <c r="C21" s="8" t="s">
        <v>54</v>
      </c>
      <c r="D21" s="12">
        <v>2.0</v>
      </c>
      <c r="E21" s="12">
        <v>3.0</v>
      </c>
      <c r="F21" s="10">
        <f t="shared" si="4"/>
        <v>1.5</v>
      </c>
    </row>
    <row r="22" ht="15.75" customHeight="1">
      <c r="A22" s="4" t="s">
        <v>55</v>
      </c>
      <c r="B22" s="5" t="s">
        <v>56</v>
      </c>
      <c r="C22" s="4"/>
      <c r="D22" s="4"/>
      <c r="E22" s="4"/>
      <c r="F22" s="4"/>
    </row>
    <row r="23" ht="15.75" customHeight="1">
      <c r="A23" s="6" t="s">
        <v>57</v>
      </c>
      <c r="B23" s="7" t="s">
        <v>58</v>
      </c>
      <c r="C23" s="6"/>
      <c r="D23" s="6"/>
      <c r="E23" s="6"/>
      <c r="F23" s="6"/>
    </row>
    <row r="24" ht="15.75" customHeight="1">
      <c r="A24" s="8" t="s">
        <v>59</v>
      </c>
      <c r="B24" s="9" t="s">
        <v>60</v>
      </c>
      <c r="C24" s="8" t="s">
        <v>61</v>
      </c>
      <c r="D24" s="12">
        <v>2.0</v>
      </c>
      <c r="E24" s="12">
        <v>4.0</v>
      </c>
      <c r="F24" s="10">
        <f t="shared" ref="F24:F27" si="5">IF(AND(D24&lt;&gt;"",E24&lt;&gt;""),E24/D24,"")</f>
        <v>2</v>
      </c>
    </row>
    <row r="25" ht="15.75" customHeight="1">
      <c r="A25" s="8" t="s">
        <v>62</v>
      </c>
      <c r="B25" s="9" t="s">
        <v>63</v>
      </c>
      <c r="C25" s="8" t="s">
        <v>64</v>
      </c>
      <c r="D25" s="12">
        <v>3.0</v>
      </c>
      <c r="E25" s="12">
        <v>4.0</v>
      </c>
      <c r="F25" s="10">
        <f t="shared" si="5"/>
        <v>1.333333333</v>
      </c>
    </row>
    <row r="26" ht="15.75" customHeight="1">
      <c r="A26" s="8" t="s">
        <v>65</v>
      </c>
      <c r="B26" s="9" t="s">
        <v>66</v>
      </c>
      <c r="C26" s="8" t="s">
        <v>67</v>
      </c>
      <c r="D26" s="12">
        <v>2.0</v>
      </c>
      <c r="E26" s="12">
        <v>3.0</v>
      </c>
      <c r="F26" s="10">
        <f t="shared" si="5"/>
        <v>1.5</v>
      </c>
    </row>
    <row r="27" ht="15.75" customHeight="1">
      <c r="A27" s="8" t="s">
        <v>68</v>
      </c>
      <c r="B27" s="9" t="s">
        <v>69</v>
      </c>
      <c r="C27" s="8" t="s">
        <v>70</v>
      </c>
      <c r="D27" s="12">
        <v>2.0</v>
      </c>
      <c r="E27" s="12">
        <v>2.0</v>
      </c>
      <c r="F27" s="10">
        <f t="shared" si="5"/>
        <v>1</v>
      </c>
    </row>
    <row r="28" ht="15.75" customHeight="1">
      <c r="A28" s="6" t="s">
        <v>71</v>
      </c>
      <c r="B28" s="7" t="s">
        <v>72</v>
      </c>
      <c r="C28" s="6"/>
      <c r="D28" s="6"/>
      <c r="E28" s="6"/>
      <c r="F28" s="6"/>
    </row>
    <row r="29" ht="15.75" customHeight="1">
      <c r="A29" s="8" t="s">
        <v>73</v>
      </c>
      <c r="B29" s="9" t="s">
        <v>74</v>
      </c>
      <c r="C29" s="8" t="s">
        <v>75</v>
      </c>
      <c r="D29" s="12">
        <v>4.0</v>
      </c>
      <c r="E29" s="12">
        <v>5.0</v>
      </c>
      <c r="F29" s="10">
        <f t="shared" ref="F29:F33" si="6">IF(AND(D29&lt;&gt;"",E29&lt;&gt;""),E29/D29,"")</f>
        <v>1.25</v>
      </c>
    </row>
    <row r="30" ht="15.75" customHeight="1">
      <c r="A30" s="8" t="s">
        <v>76</v>
      </c>
      <c r="B30" s="9" t="s">
        <v>77</v>
      </c>
      <c r="C30" s="8" t="s">
        <v>78</v>
      </c>
      <c r="D30" s="12">
        <v>3.0</v>
      </c>
      <c r="E30" s="12">
        <v>5.0</v>
      </c>
      <c r="F30" s="10">
        <f t="shared" si="6"/>
        <v>1.666666667</v>
      </c>
    </row>
    <row r="31" ht="15.75" customHeight="1">
      <c r="A31" s="8" t="s">
        <v>79</v>
      </c>
      <c r="B31" s="9" t="s">
        <v>80</v>
      </c>
      <c r="C31" s="8" t="s">
        <v>81</v>
      </c>
      <c r="D31" s="12">
        <v>3.0</v>
      </c>
      <c r="E31" s="12">
        <v>3.0</v>
      </c>
      <c r="F31" s="10">
        <f t="shared" si="6"/>
        <v>1</v>
      </c>
    </row>
    <row r="32" ht="15.75" customHeight="1">
      <c r="A32" s="8" t="s">
        <v>82</v>
      </c>
      <c r="B32" s="9" t="s">
        <v>83</v>
      </c>
      <c r="C32" s="8" t="s">
        <v>84</v>
      </c>
      <c r="D32" s="12">
        <v>2.0</v>
      </c>
      <c r="E32" s="12">
        <v>4.0</v>
      </c>
      <c r="F32" s="10">
        <f t="shared" si="6"/>
        <v>2</v>
      </c>
    </row>
    <row r="33" ht="15.75" customHeight="1">
      <c r="A33" s="8" t="s">
        <v>85</v>
      </c>
      <c r="B33" s="9" t="s">
        <v>86</v>
      </c>
      <c r="C33" s="8" t="s">
        <v>87</v>
      </c>
      <c r="D33" s="12">
        <v>2.0</v>
      </c>
      <c r="E33" s="12">
        <v>4.0</v>
      </c>
      <c r="F33" s="10">
        <f t="shared" si="6"/>
        <v>2</v>
      </c>
    </row>
    <row r="34" ht="15.75" customHeight="1">
      <c r="A34" s="4" t="s">
        <v>88</v>
      </c>
      <c r="B34" s="5" t="s">
        <v>89</v>
      </c>
      <c r="C34" s="4"/>
      <c r="D34" s="4"/>
      <c r="E34" s="4"/>
      <c r="F34" s="4"/>
    </row>
    <row r="35" ht="15.75" customHeight="1">
      <c r="A35" s="6" t="s">
        <v>90</v>
      </c>
      <c r="B35" s="7" t="s">
        <v>91</v>
      </c>
      <c r="C35" s="6"/>
      <c r="D35" s="6"/>
      <c r="E35" s="6"/>
      <c r="F35" s="6"/>
    </row>
    <row r="36" ht="15.75" customHeight="1">
      <c r="A36" s="8" t="s">
        <v>92</v>
      </c>
      <c r="B36" s="9" t="s">
        <v>93</v>
      </c>
      <c r="C36" s="8" t="s">
        <v>94</v>
      </c>
      <c r="D36" s="12">
        <v>2.0</v>
      </c>
      <c r="E36" s="12">
        <v>4.0</v>
      </c>
      <c r="F36" s="10">
        <f t="shared" ref="F36:F39" si="7">IF(AND(D36&lt;&gt;"",E36&lt;&gt;""),E36/D36,"")</f>
        <v>2</v>
      </c>
    </row>
    <row r="37" ht="15.75" customHeight="1">
      <c r="A37" s="8" t="s">
        <v>95</v>
      </c>
      <c r="B37" s="9" t="s">
        <v>96</v>
      </c>
      <c r="C37" s="8" t="s">
        <v>97</v>
      </c>
      <c r="D37" s="12">
        <v>3.0</v>
      </c>
      <c r="E37" s="12">
        <v>5.0</v>
      </c>
      <c r="F37" s="10">
        <f t="shared" si="7"/>
        <v>1.666666667</v>
      </c>
    </row>
    <row r="38" ht="15.75" customHeight="1">
      <c r="A38" s="8" t="s">
        <v>98</v>
      </c>
      <c r="B38" s="9" t="s">
        <v>99</v>
      </c>
      <c r="C38" s="8" t="s">
        <v>100</v>
      </c>
      <c r="D38" s="12">
        <v>3.0</v>
      </c>
      <c r="E38" s="12">
        <v>4.0</v>
      </c>
      <c r="F38" s="10">
        <f t="shared" si="7"/>
        <v>1.333333333</v>
      </c>
    </row>
    <row r="39" ht="15.75" customHeight="1">
      <c r="A39" s="8" t="s">
        <v>101</v>
      </c>
      <c r="B39" s="9" t="s">
        <v>102</v>
      </c>
      <c r="C39" s="8" t="s">
        <v>103</v>
      </c>
      <c r="D39" s="12">
        <v>2.0</v>
      </c>
      <c r="E39" s="12">
        <v>4.0</v>
      </c>
      <c r="F39" s="10">
        <f t="shared" si="7"/>
        <v>2</v>
      </c>
    </row>
    <row r="40" ht="15.75" customHeight="1">
      <c r="A40" s="4" t="s">
        <v>104</v>
      </c>
      <c r="B40" s="5" t="s">
        <v>105</v>
      </c>
      <c r="C40" s="4"/>
      <c r="D40" s="4"/>
      <c r="E40" s="4"/>
      <c r="F40" s="4"/>
    </row>
    <row r="41" ht="15.75" customHeight="1">
      <c r="A41" s="6" t="s">
        <v>106</v>
      </c>
      <c r="B41" s="7" t="s">
        <v>107</v>
      </c>
      <c r="C41" s="6"/>
      <c r="D41" s="6"/>
      <c r="E41" s="6"/>
      <c r="F41" s="6"/>
    </row>
    <row r="42" ht="15.75" customHeight="1">
      <c r="A42" s="8" t="s">
        <v>108</v>
      </c>
      <c r="B42" s="9" t="s">
        <v>109</v>
      </c>
      <c r="C42" s="8" t="s">
        <v>110</v>
      </c>
      <c r="D42" s="12">
        <v>3.0</v>
      </c>
      <c r="E42" s="12">
        <v>4.0</v>
      </c>
      <c r="F42" s="10">
        <f t="shared" ref="F42:F43" si="8">IF(AND(D42&lt;&gt;"",E42&lt;&gt;""),E42/D42,"")</f>
        <v>1.333333333</v>
      </c>
    </row>
    <row r="43" ht="15.75" customHeight="1">
      <c r="A43" s="8" t="s">
        <v>111</v>
      </c>
      <c r="B43" s="9" t="s">
        <v>112</v>
      </c>
      <c r="C43" s="8" t="s">
        <v>113</v>
      </c>
      <c r="D43" s="12">
        <v>4.0</v>
      </c>
      <c r="E43" s="12">
        <v>5.0</v>
      </c>
      <c r="F43" s="10">
        <f t="shared" si="8"/>
        <v>1.25</v>
      </c>
    </row>
    <row r="44" ht="15.75" customHeight="1">
      <c r="A44" s="6" t="s">
        <v>114</v>
      </c>
      <c r="B44" s="7" t="s">
        <v>115</v>
      </c>
      <c r="C44" s="6"/>
      <c r="D44" s="6"/>
      <c r="E44" s="6"/>
      <c r="F44" s="6"/>
    </row>
    <row r="45" ht="15.75" customHeight="1">
      <c r="A45" s="8" t="s">
        <v>116</v>
      </c>
      <c r="B45" s="9" t="s">
        <v>117</v>
      </c>
      <c r="C45" s="8" t="s">
        <v>118</v>
      </c>
      <c r="D45" s="12">
        <v>4.0</v>
      </c>
      <c r="E45" s="12">
        <v>5.0</v>
      </c>
      <c r="F45" s="10">
        <f t="shared" ref="F45:F46" si="9">IF(AND(D45&lt;&gt;"",E45&lt;&gt;""),E45/D45,"")</f>
        <v>1.25</v>
      </c>
    </row>
    <row r="46" ht="15.75" customHeight="1">
      <c r="A46" s="8" t="s">
        <v>119</v>
      </c>
      <c r="B46" s="9" t="s">
        <v>120</v>
      </c>
      <c r="C46" s="8" t="s">
        <v>121</v>
      </c>
      <c r="D46" s="12">
        <v>4.0</v>
      </c>
      <c r="E46" s="12">
        <v>3.0</v>
      </c>
      <c r="F46" s="10">
        <f t="shared" si="9"/>
        <v>0.75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45.0"/>
    <col customWidth="1" min="3" max="3" width="8.0"/>
    <col customWidth="1" min="4" max="4" width="20.0"/>
    <col customWidth="1" min="5" max="5" width="22.0"/>
    <col customWidth="1" min="6" max="6" width="20.0"/>
    <col customWidth="1" min="7" max="26" width="8.71"/>
  </cols>
  <sheetData>
    <row r="1">
      <c r="A1" s="1" t="s">
        <v>130</v>
      </c>
    </row>
    <row r="2" ht="30.0" customHeight="1">
      <c r="A2" s="2" t="s">
        <v>123</v>
      </c>
    </row>
    <row r="3">
      <c r="A3" s="3" t="s">
        <v>2</v>
      </c>
      <c r="B3" s="3" t="s">
        <v>3</v>
      </c>
      <c r="C3" s="3" t="s">
        <v>4</v>
      </c>
      <c r="D3" s="3" t="s">
        <v>124</v>
      </c>
      <c r="E3" s="3" t="s">
        <v>125</v>
      </c>
      <c r="F3" s="3" t="s">
        <v>126</v>
      </c>
    </row>
    <row r="4">
      <c r="A4" s="4" t="s">
        <v>7</v>
      </c>
      <c r="B4" s="5" t="s">
        <v>8</v>
      </c>
      <c r="C4" s="4"/>
      <c r="D4" s="4"/>
      <c r="E4" s="4"/>
      <c r="F4" s="4"/>
    </row>
    <row r="5">
      <c r="A5" s="6" t="s">
        <v>9</v>
      </c>
      <c r="B5" s="7" t="s">
        <v>10</v>
      </c>
      <c r="C5" s="6"/>
      <c r="D5" s="6"/>
      <c r="E5" s="6"/>
      <c r="F5" s="6"/>
    </row>
    <row r="6">
      <c r="A6" s="8" t="s">
        <v>11</v>
      </c>
      <c r="B6" s="9" t="s">
        <v>12</v>
      </c>
      <c r="C6" s="8" t="s">
        <v>13</v>
      </c>
      <c r="D6" s="12">
        <v>2.0</v>
      </c>
      <c r="E6" s="12">
        <v>3.0</v>
      </c>
      <c r="F6" s="10">
        <f t="shared" ref="F6:F9" si="1">IF(AND(D6&lt;&gt;"",E6&lt;&gt;""),E6/D6,"")</f>
        <v>1.5</v>
      </c>
    </row>
    <row r="7">
      <c r="A7" s="8" t="s">
        <v>14</v>
      </c>
      <c r="B7" s="9" t="s">
        <v>15</v>
      </c>
      <c r="C7" s="8" t="s">
        <v>16</v>
      </c>
      <c r="D7" s="12">
        <v>1.0</v>
      </c>
      <c r="E7" s="12">
        <v>3.0</v>
      </c>
      <c r="F7" s="10">
        <f t="shared" si="1"/>
        <v>3</v>
      </c>
    </row>
    <row r="8">
      <c r="A8" s="8" t="s">
        <v>17</v>
      </c>
      <c r="B8" s="9" t="s">
        <v>18</v>
      </c>
      <c r="C8" s="8" t="s">
        <v>19</v>
      </c>
      <c r="D8" s="12">
        <v>1.0</v>
      </c>
      <c r="E8" s="12">
        <v>3.0</v>
      </c>
      <c r="F8" s="10">
        <f t="shared" si="1"/>
        <v>3</v>
      </c>
    </row>
    <row r="9">
      <c r="A9" s="8" t="s">
        <v>20</v>
      </c>
      <c r="B9" s="9" t="s">
        <v>21</v>
      </c>
      <c r="C9" s="8" t="s">
        <v>22</v>
      </c>
      <c r="D9" s="12">
        <v>5.0</v>
      </c>
      <c r="E9" s="12">
        <v>2.0</v>
      </c>
      <c r="F9" s="10">
        <f t="shared" si="1"/>
        <v>0.4</v>
      </c>
    </row>
    <row r="10">
      <c r="A10" s="6" t="s">
        <v>23</v>
      </c>
      <c r="B10" s="7" t="s">
        <v>24</v>
      </c>
      <c r="C10" s="6"/>
      <c r="D10" s="6"/>
      <c r="E10" s="6"/>
      <c r="F10" s="6"/>
    </row>
    <row r="11">
      <c r="A11" s="8" t="s">
        <v>25</v>
      </c>
      <c r="B11" s="9" t="s">
        <v>26</v>
      </c>
      <c r="C11" s="8" t="s">
        <v>27</v>
      </c>
      <c r="D11" s="12">
        <v>3.0</v>
      </c>
      <c r="E11" s="12">
        <v>3.0</v>
      </c>
      <c r="F11" s="10">
        <f t="shared" ref="F11:F13" si="2">IF(AND(D11&lt;&gt;"",E11&lt;&gt;""),E11/D11,"")</f>
        <v>1</v>
      </c>
    </row>
    <row r="12">
      <c r="A12" s="8" t="s">
        <v>28</v>
      </c>
      <c r="B12" s="9" t="s">
        <v>29</v>
      </c>
      <c r="C12" s="8" t="s">
        <v>30</v>
      </c>
      <c r="D12" s="12">
        <v>3.0</v>
      </c>
      <c r="E12" s="12">
        <v>4.0</v>
      </c>
      <c r="F12" s="10">
        <f t="shared" si="2"/>
        <v>1.333333333</v>
      </c>
    </row>
    <row r="13">
      <c r="A13" s="8" t="s">
        <v>31</v>
      </c>
      <c r="B13" s="9" t="s">
        <v>32</v>
      </c>
      <c r="C13" s="8" t="s">
        <v>33</v>
      </c>
      <c r="D13" s="12">
        <v>1.0</v>
      </c>
      <c r="E13" s="12">
        <v>3.0</v>
      </c>
      <c r="F13" s="10">
        <f t="shared" si="2"/>
        <v>3</v>
      </c>
    </row>
    <row r="14">
      <c r="A14" s="4" t="s">
        <v>34</v>
      </c>
      <c r="B14" s="5" t="s">
        <v>35</v>
      </c>
      <c r="C14" s="4"/>
      <c r="D14" s="4"/>
      <c r="E14" s="4"/>
      <c r="F14" s="4"/>
    </row>
    <row r="15">
      <c r="A15" s="6" t="s">
        <v>36</v>
      </c>
      <c r="B15" s="7" t="s">
        <v>37</v>
      </c>
      <c r="C15" s="6"/>
      <c r="D15" s="6"/>
      <c r="E15" s="6"/>
      <c r="F15" s="6"/>
    </row>
    <row r="16">
      <c r="A16" s="8" t="s">
        <v>38</v>
      </c>
      <c r="B16" s="9" t="s">
        <v>39</v>
      </c>
      <c r="C16" s="8" t="s">
        <v>40</v>
      </c>
      <c r="D16" s="12">
        <v>2.0</v>
      </c>
      <c r="E16" s="12">
        <v>4.0</v>
      </c>
      <c r="F16" s="10">
        <f t="shared" ref="F16:F18" si="3">IF(AND(D16&lt;&gt;"",E16&lt;&gt;""),E16/D16,"")</f>
        <v>2</v>
      </c>
    </row>
    <row r="17">
      <c r="A17" s="8" t="s">
        <v>41</v>
      </c>
      <c r="B17" s="9" t="s">
        <v>42</v>
      </c>
      <c r="C17" s="8" t="s">
        <v>43</v>
      </c>
      <c r="D17" s="12">
        <v>3.0</v>
      </c>
      <c r="E17" s="12">
        <v>4.0</v>
      </c>
      <c r="F17" s="10">
        <f t="shared" si="3"/>
        <v>1.333333333</v>
      </c>
    </row>
    <row r="18">
      <c r="A18" s="8" t="s">
        <v>44</v>
      </c>
      <c r="B18" s="9" t="s">
        <v>45</v>
      </c>
      <c r="C18" s="8" t="s">
        <v>46</v>
      </c>
      <c r="D18" s="12">
        <v>2.0</v>
      </c>
      <c r="E18" s="12">
        <v>4.0</v>
      </c>
      <c r="F18" s="10">
        <f t="shared" si="3"/>
        <v>2</v>
      </c>
    </row>
    <row r="19">
      <c r="A19" s="6" t="s">
        <v>47</v>
      </c>
      <c r="B19" s="7" t="s">
        <v>48</v>
      </c>
      <c r="C19" s="6"/>
      <c r="D19" s="6"/>
      <c r="E19" s="6"/>
      <c r="F19" s="6"/>
    </row>
    <row r="20">
      <c r="A20" s="8" t="s">
        <v>49</v>
      </c>
      <c r="B20" s="9" t="s">
        <v>50</v>
      </c>
      <c r="C20" s="8" t="s">
        <v>51</v>
      </c>
      <c r="D20" s="12">
        <v>3.0</v>
      </c>
      <c r="E20" s="12">
        <v>4.0</v>
      </c>
      <c r="F20" s="10">
        <f t="shared" ref="F20:F21" si="4">IF(AND(D20&lt;&gt;"",E20&lt;&gt;""),E20/D20,"")</f>
        <v>1.333333333</v>
      </c>
    </row>
    <row r="21" ht="15.75" customHeight="1">
      <c r="A21" s="8" t="s">
        <v>52</v>
      </c>
      <c r="B21" s="9" t="s">
        <v>53</v>
      </c>
      <c r="C21" s="8" t="s">
        <v>54</v>
      </c>
      <c r="D21" s="12">
        <v>2.0</v>
      </c>
      <c r="E21" s="12">
        <v>3.0</v>
      </c>
      <c r="F21" s="10">
        <f t="shared" si="4"/>
        <v>1.5</v>
      </c>
    </row>
    <row r="22" ht="15.75" customHeight="1">
      <c r="A22" s="4" t="s">
        <v>55</v>
      </c>
      <c r="B22" s="5" t="s">
        <v>56</v>
      </c>
      <c r="C22" s="4"/>
      <c r="D22" s="4"/>
      <c r="E22" s="4"/>
      <c r="F22" s="4"/>
    </row>
    <row r="23" ht="15.75" customHeight="1">
      <c r="A23" s="6" t="s">
        <v>57</v>
      </c>
      <c r="B23" s="7" t="s">
        <v>58</v>
      </c>
      <c r="C23" s="6"/>
      <c r="D23" s="6"/>
      <c r="E23" s="6"/>
      <c r="F23" s="6"/>
    </row>
    <row r="24" ht="15.75" customHeight="1">
      <c r="A24" s="8" t="s">
        <v>59</v>
      </c>
      <c r="B24" s="9" t="s">
        <v>60</v>
      </c>
      <c r="C24" s="8" t="s">
        <v>61</v>
      </c>
      <c r="D24" s="12">
        <v>2.0</v>
      </c>
      <c r="E24" s="12">
        <v>5.0</v>
      </c>
      <c r="F24" s="10">
        <f t="shared" ref="F24:F27" si="5">IF(AND(D24&lt;&gt;"",E24&lt;&gt;""),E24/D24,"")</f>
        <v>2.5</v>
      </c>
    </row>
    <row r="25" ht="15.75" customHeight="1">
      <c r="A25" s="8" t="s">
        <v>62</v>
      </c>
      <c r="B25" s="9" t="s">
        <v>63</v>
      </c>
      <c r="C25" s="8" t="s">
        <v>64</v>
      </c>
      <c r="D25" s="12">
        <v>2.0</v>
      </c>
      <c r="E25" s="12">
        <v>4.0</v>
      </c>
      <c r="F25" s="10">
        <f t="shared" si="5"/>
        <v>2</v>
      </c>
    </row>
    <row r="26" ht="15.75" customHeight="1">
      <c r="A26" s="8" t="s">
        <v>65</v>
      </c>
      <c r="B26" s="9" t="s">
        <v>66</v>
      </c>
      <c r="C26" s="8" t="s">
        <v>67</v>
      </c>
      <c r="D26" s="12">
        <v>2.0</v>
      </c>
      <c r="E26" s="12">
        <v>5.0</v>
      </c>
      <c r="F26" s="10">
        <f t="shared" si="5"/>
        <v>2.5</v>
      </c>
    </row>
    <row r="27" ht="15.75" customHeight="1">
      <c r="A27" s="8" t="s">
        <v>68</v>
      </c>
      <c r="B27" s="9" t="s">
        <v>69</v>
      </c>
      <c r="C27" s="8" t="s">
        <v>70</v>
      </c>
      <c r="D27" s="12">
        <v>2.0</v>
      </c>
      <c r="E27" s="12">
        <v>4.0</v>
      </c>
      <c r="F27" s="10">
        <f t="shared" si="5"/>
        <v>2</v>
      </c>
    </row>
    <row r="28" ht="15.75" customHeight="1">
      <c r="A28" s="6" t="s">
        <v>71</v>
      </c>
      <c r="B28" s="7" t="s">
        <v>72</v>
      </c>
      <c r="C28" s="6"/>
      <c r="D28" s="6"/>
      <c r="E28" s="6"/>
      <c r="F28" s="6"/>
    </row>
    <row r="29" ht="15.75" customHeight="1">
      <c r="A29" s="8" t="s">
        <v>73</v>
      </c>
      <c r="B29" s="9" t="s">
        <v>74</v>
      </c>
      <c r="C29" s="8" t="s">
        <v>75</v>
      </c>
      <c r="D29" s="12">
        <v>3.0</v>
      </c>
      <c r="E29" s="12">
        <v>5.0</v>
      </c>
      <c r="F29" s="10">
        <f t="shared" ref="F29:F33" si="6">IF(AND(D29&lt;&gt;"",E29&lt;&gt;""),E29/D29,"")</f>
        <v>1.666666667</v>
      </c>
    </row>
    <row r="30" ht="15.75" customHeight="1">
      <c r="A30" s="8" t="s">
        <v>76</v>
      </c>
      <c r="B30" s="9" t="s">
        <v>77</v>
      </c>
      <c r="C30" s="8" t="s">
        <v>78</v>
      </c>
      <c r="D30" s="12">
        <v>2.0</v>
      </c>
      <c r="E30" s="12">
        <v>5.0</v>
      </c>
      <c r="F30" s="10">
        <f t="shared" si="6"/>
        <v>2.5</v>
      </c>
    </row>
    <row r="31" ht="15.75" customHeight="1">
      <c r="A31" s="8" t="s">
        <v>79</v>
      </c>
      <c r="B31" s="9" t="s">
        <v>80</v>
      </c>
      <c r="C31" s="8" t="s">
        <v>81</v>
      </c>
      <c r="D31" s="12">
        <v>3.0</v>
      </c>
      <c r="E31" s="12">
        <v>5.0</v>
      </c>
      <c r="F31" s="10">
        <f t="shared" si="6"/>
        <v>1.666666667</v>
      </c>
    </row>
    <row r="32" ht="15.75" customHeight="1">
      <c r="A32" s="8" t="s">
        <v>82</v>
      </c>
      <c r="B32" s="9" t="s">
        <v>83</v>
      </c>
      <c r="C32" s="8" t="s">
        <v>84</v>
      </c>
      <c r="D32" s="12">
        <v>2.0</v>
      </c>
      <c r="E32" s="12">
        <v>4.0</v>
      </c>
      <c r="F32" s="10">
        <f t="shared" si="6"/>
        <v>2</v>
      </c>
    </row>
    <row r="33" ht="15.75" customHeight="1">
      <c r="A33" s="8" t="s">
        <v>85</v>
      </c>
      <c r="B33" s="9" t="s">
        <v>86</v>
      </c>
      <c r="C33" s="8" t="s">
        <v>87</v>
      </c>
      <c r="D33" s="12">
        <v>2.0</v>
      </c>
      <c r="E33" s="12">
        <v>5.0</v>
      </c>
      <c r="F33" s="10">
        <f t="shared" si="6"/>
        <v>2.5</v>
      </c>
    </row>
    <row r="34" ht="15.75" customHeight="1">
      <c r="A34" s="4" t="s">
        <v>88</v>
      </c>
      <c r="B34" s="5" t="s">
        <v>89</v>
      </c>
      <c r="C34" s="4"/>
      <c r="D34" s="4"/>
      <c r="E34" s="4"/>
      <c r="F34" s="4"/>
    </row>
    <row r="35" ht="15.75" customHeight="1">
      <c r="A35" s="6" t="s">
        <v>90</v>
      </c>
      <c r="B35" s="7" t="s">
        <v>91</v>
      </c>
      <c r="C35" s="6"/>
      <c r="D35" s="6"/>
      <c r="E35" s="6"/>
      <c r="F35" s="6"/>
    </row>
    <row r="36" ht="15.75" customHeight="1">
      <c r="A36" s="8" t="s">
        <v>92</v>
      </c>
      <c r="B36" s="9" t="s">
        <v>93</v>
      </c>
      <c r="C36" s="8" t="s">
        <v>94</v>
      </c>
      <c r="D36" s="12">
        <v>4.0</v>
      </c>
      <c r="E36" s="12">
        <v>3.0</v>
      </c>
      <c r="F36" s="10">
        <f t="shared" ref="F36:F39" si="7">IF(AND(D36&lt;&gt;"",E36&lt;&gt;""),E36/D36,"")</f>
        <v>0.75</v>
      </c>
    </row>
    <row r="37" ht="15.75" customHeight="1">
      <c r="A37" s="8" t="s">
        <v>95</v>
      </c>
      <c r="B37" s="9" t="s">
        <v>96</v>
      </c>
      <c r="C37" s="8" t="s">
        <v>97</v>
      </c>
      <c r="D37" s="12">
        <v>2.0</v>
      </c>
      <c r="E37" s="12">
        <v>4.0</v>
      </c>
      <c r="F37" s="10">
        <f t="shared" si="7"/>
        <v>2</v>
      </c>
    </row>
    <row r="38" ht="15.75" customHeight="1">
      <c r="A38" s="8" t="s">
        <v>98</v>
      </c>
      <c r="B38" s="9" t="s">
        <v>99</v>
      </c>
      <c r="C38" s="8" t="s">
        <v>100</v>
      </c>
      <c r="D38" s="12">
        <v>2.0</v>
      </c>
      <c r="E38" s="12">
        <v>4.0</v>
      </c>
      <c r="F38" s="10">
        <f t="shared" si="7"/>
        <v>2</v>
      </c>
    </row>
    <row r="39" ht="15.75" customHeight="1">
      <c r="A39" s="8" t="s">
        <v>101</v>
      </c>
      <c r="B39" s="9" t="s">
        <v>102</v>
      </c>
      <c r="C39" s="8" t="s">
        <v>103</v>
      </c>
      <c r="D39" s="12">
        <v>1.0</v>
      </c>
      <c r="E39" s="12">
        <v>4.0</v>
      </c>
      <c r="F39" s="10">
        <f t="shared" si="7"/>
        <v>4</v>
      </c>
    </row>
    <row r="40" ht="15.75" customHeight="1">
      <c r="A40" s="4" t="s">
        <v>104</v>
      </c>
      <c r="B40" s="5" t="s">
        <v>105</v>
      </c>
      <c r="C40" s="4"/>
      <c r="D40" s="4"/>
      <c r="E40" s="4"/>
      <c r="F40" s="4"/>
    </row>
    <row r="41" ht="15.75" customHeight="1">
      <c r="A41" s="6" t="s">
        <v>106</v>
      </c>
      <c r="B41" s="7" t="s">
        <v>107</v>
      </c>
      <c r="C41" s="6"/>
      <c r="D41" s="6"/>
      <c r="E41" s="6"/>
      <c r="F41" s="6"/>
    </row>
    <row r="42" ht="15.75" customHeight="1">
      <c r="A42" s="8" t="s">
        <v>108</v>
      </c>
      <c r="B42" s="9" t="s">
        <v>109</v>
      </c>
      <c r="C42" s="8" t="s">
        <v>110</v>
      </c>
      <c r="D42" s="12">
        <v>3.0</v>
      </c>
      <c r="E42" s="12">
        <v>4.0</v>
      </c>
      <c r="F42" s="10">
        <f t="shared" ref="F42:F43" si="8">IF(AND(D42&lt;&gt;"",E42&lt;&gt;""),E42/D42,"")</f>
        <v>1.333333333</v>
      </c>
    </row>
    <row r="43" ht="15.75" customHeight="1">
      <c r="A43" s="8" t="s">
        <v>111</v>
      </c>
      <c r="B43" s="9" t="s">
        <v>112</v>
      </c>
      <c r="C43" s="8" t="s">
        <v>113</v>
      </c>
      <c r="D43" s="12">
        <v>3.0</v>
      </c>
      <c r="E43" s="12">
        <v>4.0</v>
      </c>
      <c r="F43" s="10">
        <f t="shared" si="8"/>
        <v>1.333333333</v>
      </c>
    </row>
    <row r="44" ht="15.75" customHeight="1">
      <c r="A44" s="6" t="s">
        <v>114</v>
      </c>
      <c r="B44" s="7" t="s">
        <v>115</v>
      </c>
      <c r="C44" s="6"/>
      <c r="D44" s="6"/>
      <c r="E44" s="6"/>
      <c r="F44" s="6"/>
    </row>
    <row r="45" ht="15.75" customHeight="1">
      <c r="A45" s="8" t="s">
        <v>116</v>
      </c>
      <c r="B45" s="9" t="s">
        <v>117</v>
      </c>
      <c r="C45" s="8" t="s">
        <v>118</v>
      </c>
      <c r="D45" s="12">
        <v>3.0</v>
      </c>
      <c r="E45" s="12">
        <v>4.0</v>
      </c>
      <c r="F45" s="10">
        <f t="shared" ref="F45:F46" si="9">IF(AND(D45&lt;&gt;"",E45&lt;&gt;""),E45/D45,"")</f>
        <v>1.333333333</v>
      </c>
    </row>
    <row r="46" ht="15.75" customHeight="1">
      <c r="A46" s="8" t="s">
        <v>119</v>
      </c>
      <c r="B46" s="9" t="s">
        <v>120</v>
      </c>
      <c r="C46" s="8" t="s">
        <v>121</v>
      </c>
      <c r="D46" s="12">
        <v>3.0</v>
      </c>
      <c r="E46" s="12">
        <v>4.0</v>
      </c>
      <c r="F46" s="10">
        <f t="shared" si="9"/>
        <v>1.333333333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45.0"/>
    <col customWidth="1" min="3" max="3" width="8.0"/>
    <col customWidth="1" min="4" max="4" width="20.0"/>
    <col customWidth="1" min="5" max="5" width="22.0"/>
    <col customWidth="1" min="6" max="6" width="20.0"/>
    <col customWidth="1" min="7" max="26" width="8.71"/>
  </cols>
  <sheetData>
    <row r="1">
      <c r="A1" s="1" t="s">
        <v>131</v>
      </c>
    </row>
    <row r="2" ht="30.0" customHeight="1">
      <c r="A2" s="2" t="s">
        <v>123</v>
      </c>
    </row>
    <row r="3">
      <c r="A3" s="3" t="s">
        <v>2</v>
      </c>
      <c r="B3" s="3" t="s">
        <v>3</v>
      </c>
      <c r="C3" s="3" t="s">
        <v>4</v>
      </c>
      <c r="D3" s="3" t="s">
        <v>124</v>
      </c>
      <c r="E3" s="3" t="s">
        <v>125</v>
      </c>
      <c r="F3" s="3" t="s">
        <v>126</v>
      </c>
    </row>
    <row r="4">
      <c r="A4" s="4" t="s">
        <v>7</v>
      </c>
      <c r="B4" s="5" t="s">
        <v>8</v>
      </c>
      <c r="C4" s="4"/>
      <c r="D4" s="4"/>
      <c r="E4" s="4"/>
      <c r="F4" s="4"/>
    </row>
    <row r="5">
      <c r="A5" s="6" t="s">
        <v>9</v>
      </c>
      <c r="B5" s="7" t="s">
        <v>10</v>
      </c>
      <c r="C5" s="6"/>
      <c r="D5" s="6"/>
      <c r="E5" s="6"/>
      <c r="F5" s="6"/>
    </row>
    <row r="6">
      <c r="A6" s="8" t="s">
        <v>11</v>
      </c>
      <c r="B6" s="9" t="s">
        <v>12</v>
      </c>
      <c r="C6" s="8" t="s">
        <v>13</v>
      </c>
      <c r="D6" s="12">
        <v>2.0</v>
      </c>
      <c r="E6" s="12">
        <v>5.0</v>
      </c>
      <c r="F6" s="10">
        <f t="shared" ref="F6:F9" si="1">IF(AND(D6&lt;&gt;"",E6&lt;&gt;""),E6/D6,"")</f>
        <v>2.5</v>
      </c>
    </row>
    <row r="7">
      <c r="A7" s="8" t="s">
        <v>14</v>
      </c>
      <c r="B7" s="9" t="s">
        <v>15</v>
      </c>
      <c r="C7" s="8" t="s">
        <v>16</v>
      </c>
      <c r="D7" s="12">
        <v>2.0</v>
      </c>
      <c r="E7" s="12">
        <v>5.0</v>
      </c>
      <c r="F7" s="10">
        <f t="shared" si="1"/>
        <v>2.5</v>
      </c>
    </row>
    <row r="8">
      <c r="A8" s="8" t="s">
        <v>17</v>
      </c>
      <c r="B8" s="9" t="s">
        <v>18</v>
      </c>
      <c r="C8" s="8" t="s">
        <v>19</v>
      </c>
      <c r="D8" s="12">
        <v>2.0</v>
      </c>
      <c r="E8" s="12">
        <v>4.0</v>
      </c>
      <c r="F8" s="10">
        <f t="shared" si="1"/>
        <v>2</v>
      </c>
    </row>
    <row r="9">
      <c r="A9" s="8" t="s">
        <v>20</v>
      </c>
      <c r="B9" s="9" t="s">
        <v>21</v>
      </c>
      <c r="C9" s="8" t="s">
        <v>22</v>
      </c>
      <c r="D9" s="12">
        <v>4.0</v>
      </c>
      <c r="E9" s="12">
        <v>3.0</v>
      </c>
      <c r="F9" s="10">
        <f t="shared" si="1"/>
        <v>0.75</v>
      </c>
    </row>
    <row r="10">
      <c r="A10" s="6" t="s">
        <v>23</v>
      </c>
      <c r="B10" s="7" t="s">
        <v>24</v>
      </c>
      <c r="C10" s="6"/>
      <c r="D10" s="6"/>
      <c r="E10" s="6"/>
      <c r="F10" s="6"/>
    </row>
    <row r="11">
      <c r="A11" s="8" t="s">
        <v>25</v>
      </c>
      <c r="B11" s="9" t="s">
        <v>26</v>
      </c>
      <c r="C11" s="8" t="s">
        <v>27</v>
      </c>
      <c r="D11" s="12">
        <v>2.0</v>
      </c>
      <c r="E11" s="12">
        <v>5.0</v>
      </c>
      <c r="F11" s="10">
        <f t="shared" ref="F11:F13" si="2">IF(AND(D11&lt;&gt;"",E11&lt;&gt;""),E11/D11,"")</f>
        <v>2.5</v>
      </c>
    </row>
    <row r="12">
      <c r="A12" s="8" t="s">
        <v>28</v>
      </c>
      <c r="B12" s="9" t="s">
        <v>29</v>
      </c>
      <c r="C12" s="8" t="s">
        <v>30</v>
      </c>
      <c r="D12" s="12">
        <v>2.0</v>
      </c>
      <c r="E12" s="12">
        <v>4.0</v>
      </c>
      <c r="F12" s="10">
        <f t="shared" si="2"/>
        <v>2</v>
      </c>
    </row>
    <row r="13">
      <c r="A13" s="8" t="s">
        <v>31</v>
      </c>
      <c r="B13" s="9" t="s">
        <v>32</v>
      </c>
      <c r="C13" s="8" t="s">
        <v>33</v>
      </c>
      <c r="D13" s="12">
        <v>1.0</v>
      </c>
      <c r="E13" s="12">
        <v>3.0</v>
      </c>
      <c r="F13" s="10">
        <f t="shared" si="2"/>
        <v>3</v>
      </c>
    </row>
    <row r="14">
      <c r="A14" s="4" t="s">
        <v>34</v>
      </c>
      <c r="B14" s="5" t="s">
        <v>35</v>
      </c>
      <c r="C14" s="4"/>
      <c r="D14" s="4"/>
      <c r="E14" s="4"/>
      <c r="F14" s="4"/>
    </row>
    <row r="15">
      <c r="A15" s="6" t="s">
        <v>36</v>
      </c>
      <c r="B15" s="7" t="s">
        <v>37</v>
      </c>
      <c r="C15" s="6"/>
      <c r="D15" s="6"/>
      <c r="E15" s="6"/>
      <c r="F15" s="6"/>
    </row>
    <row r="16">
      <c r="A16" s="8" t="s">
        <v>38</v>
      </c>
      <c r="B16" s="9" t="s">
        <v>39</v>
      </c>
      <c r="C16" s="8" t="s">
        <v>40</v>
      </c>
      <c r="D16" s="12">
        <v>2.0</v>
      </c>
      <c r="E16" s="12">
        <v>4.0</v>
      </c>
      <c r="F16" s="10">
        <f t="shared" ref="F16:F18" si="3">IF(AND(D16&lt;&gt;"",E16&lt;&gt;""),E16/D16,"")</f>
        <v>2</v>
      </c>
    </row>
    <row r="17">
      <c r="A17" s="8" t="s">
        <v>41</v>
      </c>
      <c r="B17" s="9" t="s">
        <v>42</v>
      </c>
      <c r="C17" s="8" t="s">
        <v>43</v>
      </c>
      <c r="D17" s="12">
        <v>3.0</v>
      </c>
      <c r="E17" s="12">
        <v>4.0</v>
      </c>
      <c r="F17" s="10">
        <f t="shared" si="3"/>
        <v>1.333333333</v>
      </c>
    </row>
    <row r="18">
      <c r="A18" s="8" t="s">
        <v>44</v>
      </c>
      <c r="B18" s="9" t="s">
        <v>45</v>
      </c>
      <c r="C18" s="8" t="s">
        <v>46</v>
      </c>
      <c r="D18" s="12">
        <v>2.0</v>
      </c>
      <c r="E18" s="12">
        <v>3.0</v>
      </c>
      <c r="F18" s="10">
        <f t="shared" si="3"/>
        <v>1.5</v>
      </c>
    </row>
    <row r="19">
      <c r="A19" s="6" t="s">
        <v>47</v>
      </c>
      <c r="B19" s="7" t="s">
        <v>48</v>
      </c>
      <c r="C19" s="6"/>
      <c r="D19" s="6"/>
      <c r="E19" s="6"/>
      <c r="F19" s="6"/>
    </row>
    <row r="20">
      <c r="A20" s="8" t="s">
        <v>49</v>
      </c>
      <c r="B20" s="9" t="s">
        <v>50</v>
      </c>
      <c r="C20" s="8" t="s">
        <v>51</v>
      </c>
      <c r="D20" s="12">
        <v>2.0</v>
      </c>
      <c r="E20" s="12">
        <v>5.0</v>
      </c>
      <c r="F20" s="10">
        <f t="shared" ref="F20:F21" si="4">IF(AND(D20&lt;&gt;"",E20&lt;&gt;""),E20/D20,"")</f>
        <v>2.5</v>
      </c>
    </row>
    <row r="21" ht="15.75" customHeight="1">
      <c r="A21" s="8" t="s">
        <v>52</v>
      </c>
      <c r="B21" s="9" t="s">
        <v>53</v>
      </c>
      <c r="C21" s="8" t="s">
        <v>54</v>
      </c>
      <c r="D21" s="12">
        <v>1.0</v>
      </c>
      <c r="E21" s="12">
        <v>4.0</v>
      </c>
      <c r="F21" s="10">
        <f t="shared" si="4"/>
        <v>4</v>
      </c>
    </row>
    <row r="22" ht="15.75" customHeight="1">
      <c r="A22" s="4" t="s">
        <v>55</v>
      </c>
      <c r="B22" s="5" t="s">
        <v>56</v>
      </c>
      <c r="C22" s="4"/>
      <c r="D22" s="4"/>
      <c r="E22" s="4"/>
      <c r="F22" s="4"/>
    </row>
    <row r="23" ht="15.75" customHeight="1">
      <c r="A23" s="6" t="s">
        <v>57</v>
      </c>
      <c r="B23" s="7" t="s">
        <v>58</v>
      </c>
      <c r="C23" s="6"/>
      <c r="D23" s="6"/>
      <c r="E23" s="6"/>
      <c r="F23" s="6"/>
    </row>
    <row r="24" ht="15.75" customHeight="1">
      <c r="A24" s="8" t="s">
        <v>59</v>
      </c>
      <c r="B24" s="9" t="s">
        <v>60</v>
      </c>
      <c r="C24" s="8" t="s">
        <v>61</v>
      </c>
      <c r="D24" s="12">
        <v>3.0</v>
      </c>
      <c r="E24" s="12">
        <v>5.0</v>
      </c>
      <c r="F24" s="10">
        <f t="shared" ref="F24:F27" si="5">IF(AND(D24&lt;&gt;"",E24&lt;&gt;""),E24/D24,"")</f>
        <v>1.666666667</v>
      </c>
    </row>
    <row r="25" ht="15.75" customHeight="1">
      <c r="A25" s="8" t="s">
        <v>62</v>
      </c>
      <c r="B25" s="9" t="s">
        <v>63</v>
      </c>
      <c r="C25" s="8" t="s">
        <v>64</v>
      </c>
      <c r="D25" s="12">
        <v>2.0</v>
      </c>
      <c r="E25" s="12">
        <v>4.0</v>
      </c>
      <c r="F25" s="10">
        <f t="shared" si="5"/>
        <v>2</v>
      </c>
    </row>
    <row r="26" ht="15.75" customHeight="1">
      <c r="A26" s="8" t="s">
        <v>65</v>
      </c>
      <c r="B26" s="9" t="s">
        <v>66</v>
      </c>
      <c r="C26" s="8" t="s">
        <v>67</v>
      </c>
      <c r="D26" s="12">
        <v>3.0</v>
      </c>
      <c r="E26" s="12">
        <v>3.0</v>
      </c>
      <c r="F26" s="10">
        <f t="shared" si="5"/>
        <v>1</v>
      </c>
    </row>
    <row r="27" ht="15.75" customHeight="1">
      <c r="A27" s="8" t="s">
        <v>68</v>
      </c>
      <c r="B27" s="9" t="s">
        <v>69</v>
      </c>
      <c r="C27" s="8" t="s">
        <v>70</v>
      </c>
      <c r="D27" s="12">
        <v>2.0</v>
      </c>
      <c r="E27" s="12">
        <v>3.0</v>
      </c>
      <c r="F27" s="10">
        <f t="shared" si="5"/>
        <v>1.5</v>
      </c>
    </row>
    <row r="28" ht="15.75" customHeight="1">
      <c r="A28" s="6" t="s">
        <v>71</v>
      </c>
      <c r="B28" s="7" t="s">
        <v>72</v>
      </c>
      <c r="C28" s="6"/>
      <c r="D28" s="6"/>
      <c r="E28" s="6"/>
      <c r="F28" s="6"/>
    </row>
    <row r="29" ht="15.75" customHeight="1">
      <c r="A29" s="8" t="s">
        <v>73</v>
      </c>
      <c r="B29" s="9" t="s">
        <v>74</v>
      </c>
      <c r="C29" s="8" t="s">
        <v>75</v>
      </c>
      <c r="D29" s="12">
        <v>4.0</v>
      </c>
      <c r="E29" s="12">
        <v>5.0</v>
      </c>
      <c r="F29" s="10">
        <f t="shared" ref="F29:F33" si="6">IF(AND(D29&lt;&gt;"",E29&lt;&gt;""),E29/D29,"")</f>
        <v>1.25</v>
      </c>
    </row>
    <row r="30" ht="15.75" customHeight="1">
      <c r="A30" s="8" t="s">
        <v>76</v>
      </c>
      <c r="B30" s="9" t="s">
        <v>77</v>
      </c>
      <c r="C30" s="8" t="s">
        <v>78</v>
      </c>
      <c r="D30" s="12">
        <v>3.0</v>
      </c>
      <c r="E30" s="12">
        <v>5.0</v>
      </c>
      <c r="F30" s="10">
        <f t="shared" si="6"/>
        <v>1.666666667</v>
      </c>
    </row>
    <row r="31" ht="15.75" customHeight="1">
      <c r="A31" s="8" t="s">
        <v>79</v>
      </c>
      <c r="B31" s="9" t="s">
        <v>80</v>
      </c>
      <c r="C31" s="8" t="s">
        <v>81</v>
      </c>
      <c r="D31" s="12">
        <v>3.0</v>
      </c>
      <c r="E31" s="12">
        <v>4.0</v>
      </c>
      <c r="F31" s="10">
        <f t="shared" si="6"/>
        <v>1.333333333</v>
      </c>
    </row>
    <row r="32" ht="15.75" customHeight="1">
      <c r="A32" s="8" t="s">
        <v>82</v>
      </c>
      <c r="B32" s="9" t="s">
        <v>83</v>
      </c>
      <c r="C32" s="8" t="s">
        <v>84</v>
      </c>
      <c r="D32" s="12">
        <v>2.0</v>
      </c>
      <c r="E32" s="12">
        <v>3.0</v>
      </c>
      <c r="F32" s="10">
        <f t="shared" si="6"/>
        <v>1.5</v>
      </c>
    </row>
    <row r="33" ht="15.75" customHeight="1">
      <c r="A33" s="8" t="s">
        <v>85</v>
      </c>
      <c r="B33" s="9" t="s">
        <v>86</v>
      </c>
      <c r="C33" s="8" t="s">
        <v>87</v>
      </c>
      <c r="D33" s="12">
        <v>2.0</v>
      </c>
      <c r="E33" s="12">
        <v>3.0</v>
      </c>
      <c r="F33" s="10">
        <f t="shared" si="6"/>
        <v>1.5</v>
      </c>
    </row>
    <row r="34" ht="15.75" customHeight="1">
      <c r="A34" s="4" t="s">
        <v>88</v>
      </c>
      <c r="B34" s="5" t="s">
        <v>89</v>
      </c>
      <c r="C34" s="4"/>
      <c r="D34" s="4"/>
      <c r="E34" s="4"/>
      <c r="F34" s="4"/>
    </row>
    <row r="35" ht="15.75" customHeight="1">
      <c r="A35" s="6" t="s">
        <v>90</v>
      </c>
      <c r="B35" s="7" t="s">
        <v>91</v>
      </c>
      <c r="C35" s="6"/>
      <c r="D35" s="6"/>
      <c r="E35" s="6"/>
      <c r="F35" s="6"/>
    </row>
    <row r="36" ht="15.75" customHeight="1">
      <c r="A36" s="8" t="s">
        <v>92</v>
      </c>
      <c r="B36" s="9" t="s">
        <v>93</v>
      </c>
      <c r="C36" s="8" t="s">
        <v>94</v>
      </c>
      <c r="D36" s="12">
        <v>3.0</v>
      </c>
      <c r="E36" s="12">
        <v>5.0</v>
      </c>
      <c r="F36" s="10">
        <f t="shared" ref="F36:F39" si="7">IF(AND(D36&lt;&gt;"",E36&lt;&gt;""),E36/D36,"")</f>
        <v>1.666666667</v>
      </c>
    </row>
    <row r="37" ht="15.75" customHeight="1">
      <c r="A37" s="8" t="s">
        <v>95</v>
      </c>
      <c r="B37" s="9" t="s">
        <v>96</v>
      </c>
      <c r="C37" s="8" t="s">
        <v>97</v>
      </c>
      <c r="D37" s="12">
        <v>2.0</v>
      </c>
      <c r="E37" s="12">
        <v>5.0</v>
      </c>
      <c r="F37" s="10">
        <f t="shared" si="7"/>
        <v>2.5</v>
      </c>
    </row>
    <row r="38" ht="15.75" customHeight="1">
      <c r="A38" s="8" t="s">
        <v>98</v>
      </c>
      <c r="B38" s="9" t="s">
        <v>99</v>
      </c>
      <c r="C38" s="8" t="s">
        <v>100</v>
      </c>
      <c r="D38" s="12">
        <v>3.0</v>
      </c>
      <c r="E38" s="12">
        <v>3.0</v>
      </c>
      <c r="F38" s="10">
        <f t="shared" si="7"/>
        <v>1</v>
      </c>
    </row>
    <row r="39" ht="15.75" customHeight="1">
      <c r="A39" s="8" t="s">
        <v>101</v>
      </c>
      <c r="B39" s="9" t="s">
        <v>102</v>
      </c>
      <c r="C39" s="8" t="s">
        <v>103</v>
      </c>
      <c r="D39" s="12">
        <v>1.0</v>
      </c>
      <c r="E39" s="12">
        <v>3.0</v>
      </c>
      <c r="F39" s="10">
        <f t="shared" si="7"/>
        <v>3</v>
      </c>
    </row>
    <row r="40" ht="15.75" customHeight="1">
      <c r="A40" s="4" t="s">
        <v>104</v>
      </c>
      <c r="B40" s="5" t="s">
        <v>105</v>
      </c>
      <c r="C40" s="4"/>
      <c r="D40" s="4"/>
      <c r="E40" s="4"/>
      <c r="F40" s="4"/>
    </row>
    <row r="41" ht="15.75" customHeight="1">
      <c r="A41" s="6" t="s">
        <v>106</v>
      </c>
      <c r="B41" s="7" t="s">
        <v>107</v>
      </c>
      <c r="C41" s="6"/>
      <c r="D41" s="6"/>
      <c r="E41" s="6"/>
      <c r="F41" s="6"/>
    </row>
    <row r="42" ht="15.75" customHeight="1">
      <c r="A42" s="8" t="s">
        <v>108</v>
      </c>
      <c r="B42" s="9" t="s">
        <v>109</v>
      </c>
      <c r="C42" s="8" t="s">
        <v>110</v>
      </c>
      <c r="D42" s="12">
        <v>2.0</v>
      </c>
      <c r="E42" s="12">
        <v>3.0</v>
      </c>
      <c r="F42" s="10">
        <f t="shared" ref="F42:F43" si="8">IF(AND(D42&lt;&gt;"",E42&lt;&gt;""),E42/D42,"")</f>
        <v>1.5</v>
      </c>
    </row>
    <row r="43" ht="15.75" customHeight="1">
      <c r="A43" s="8" t="s">
        <v>111</v>
      </c>
      <c r="B43" s="9" t="s">
        <v>112</v>
      </c>
      <c r="C43" s="8" t="s">
        <v>113</v>
      </c>
      <c r="D43" s="12">
        <v>3.0</v>
      </c>
      <c r="E43" s="12">
        <v>3.0</v>
      </c>
      <c r="F43" s="10">
        <f t="shared" si="8"/>
        <v>1</v>
      </c>
    </row>
    <row r="44" ht="15.75" customHeight="1">
      <c r="A44" s="6" t="s">
        <v>114</v>
      </c>
      <c r="B44" s="7" t="s">
        <v>115</v>
      </c>
      <c r="C44" s="6"/>
      <c r="D44" s="6"/>
      <c r="E44" s="6"/>
      <c r="F44" s="6"/>
    </row>
    <row r="45" ht="15.75" customHeight="1">
      <c r="A45" s="8" t="s">
        <v>116</v>
      </c>
      <c r="B45" s="9" t="s">
        <v>117</v>
      </c>
      <c r="C45" s="8" t="s">
        <v>118</v>
      </c>
      <c r="D45" s="12">
        <v>2.0</v>
      </c>
      <c r="E45" s="12">
        <v>4.0</v>
      </c>
      <c r="F45" s="10">
        <f t="shared" ref="F45:F46" si="9">IF(AND(D45&lt;&gt;"",E45&lt;&gt;""),E45/D45,"")</f>
        <v>2</v>
      </c>
    </row>
    <row r="46" ht="15.75" customHeight="1">
      <c r="A46" s="8" t="s">
        <v>119</v>
      </c>
      <c r="B46" s="9" t="s">
        <v>120</v>
      </c>
      <c r="C46" s="8" t="s">
        <v>121</v>
      </c>
      <c r="D46" s="12">
        <v>3.0</v>
      </c>
      <c r="E46" s="12">
        <v>4.0</v>
      </c>
      <c r="F46" s="10">
        <f t="shared" si="9"/>
        <v>1.333333333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45.0"/>
    <col customWidth="1" min="3" max="3" width="8.0"/>
    <col customWidth="1" min="4" max="4" width="20.0"/>
    <col customWidth="1" min="5" max="5" width="22.0"/>
    <col customWidth="1" min="6" max="6" width="20.0"/>
    <col customWidth="1" min="7" max="26" width="8.71"/>
  </cols>
  <sheetData>
    <row r="1">
      <c r="A1" s="1" t="s">
        <v>132</v>
      </c>
    </row>
    <row r="2" ht="30.0" customHeight="1">
      <c r="A2" s="2" t="s">
        <v>123</v>
      </c>
    </row>
    <row r="3">
      <c r="A3" s="3" t="s">
        <v>2</v>
      </c>
      <c r="B3" s="3" t="s">
        <v>3</v>
      </c>
      <c r="C3" s="3" t="s">
        <v>4</v>
      </c>
      <c r="D3" s="3" t="s">
        <v>124</v>
      </c>
      <c r="E3" s="3" t="s">
        <v>125</v>
      </c>
      <c r="F3" s="3" t="s">
        <v>126</v>
      </c>
    </row>
    <row r="4">
      <c r="A4" s="4" t="s">
        <v>7</v>
      </c>
      <c r="B4" s="5" t="s">
        <v>8</v>
      </c>
      <c r="C4" s="4"/>
      <c r="D4" s="4"/>
      <c r="E4" s="4"/>
      <c r="F4" s="4"/>
    </row>
    <row r="5">
      <c r="A5" s="6" t="s">
        <v>9</v>
      </c>
      <c r="B5" s="7" t="s">
        <v>10</v>
      </c>
      <c r="C5" s="6"/>
      <c r="D5" s="6"/>
      <c r="E5" s="6"/>
      <c r="F5" s="6"/>
    </row>
    <row r="6">
      <c r="A6" s="8" t="s">
        <v>11</v>
      </c>
      <c r="B6" s="9" t="s">
        <v>12</v>
      </c>
      <c r="C6" s="8" t="s">
        <v>13</v>
      </c>
      <c r="D6" s="12">
        <v>1.0</v>
      </c>
      <c r="E6" s="12">
        <v>2.0</v>
      </c>
      <c r="F6" s="10">
        <f t="shared" ref="F6:F9" si="1">IF(AND(D6&lt;&gt;"",E6&lt;&gt;""),E6/D6,"")</f>
        <v>2</v>
      </c>
    </row>
    <row r="7">
      <c r="A7" s="8" t="s">
        <v>14</v>
      </c>
      <c r="B7" s="9" t="s">
        <v>15</v>
      </c>
      <c r="C7" s="8" t="s">
        <v>16</v>
      </c>
      <c r="D7" s="12">
        <v>1.0</v>
      </c>
      <c r="E7" s="12">
        <v>3.0</v>
      </c>
      <c r="F7" s="10">
        <f t="shared" si="1"/>
        <v>3</v>
      </c>
    </row>
    <row r="8">
      <c r="A8" s="8" t="s">
        <v>17</v>
      </c>
      <c r="B8" s="9" t="s">
        <v>18</v>
      </c>
      <c r="C8" s="8" t="s">
        <v>19</v>
      </c>
      <c r="D8" s="12">
        <v>1.0</v>
      </c>
      <c r="E8" s="12">
        <v>2.0</v>
      </c>
      <c r="F8" s="10">
        <f t="shared" si="1"/>
        <v>2</v>
      </c>
    </row>
    <row r="9">
      <c r="A9" s="8" t="s">
        <v>20</v>
      </c>
      <c r="B9" s="9" t="s">
        <v>21</v>
      </c>
      <c r="C9" s="8" t="s">
        <v>22</v>
      </c>
      <c r="D9" s="12">
        <v>5.0</v>
      </c>
      <c r="E9" s="12">
        <v>2.0</v>
      </c>
      <c r="F9" s="10">
        <f t="shared" si="1"/>
        <v>0.4</v>
      </c>
    </row>
    <row r="10">
      <c r="A10" s="6" t="s">
        <v>23</v>
      </c>
      <c r="B10" s="7" t="s">
        <v>24</v>
      </c>
      <c r="C10" s="6"/>
      <c r="D10" s="6"/>
      <c r="E10" s="6"/>
      <c r="F10" s="6"/>
    </row>
    <row r="11">
      <c r="A11" s="8" t="s">
        <v>25</v>
      </c>
      <c r="B11" s="9" t="s">
        <v>26</v>
      </c>
      <c r="C11" s="8" t="s">
        <v>27</v>
      </c>
      <c r="D11" s="12">
        <v>3.0</v>
      </c>
      <c r="E11" s="12">
        <v>3.0</v>
      </c>
      <c r="F11" s="10">
        <f t="shared" ref="F11:F13" si="2">IF(AND(D11&lt;&gt;"",E11&lt;&gt;""),E11/D11,"")</f>
        <v>1</v>
      </c>
    </row>
    <row r="12">
      <c r="A12" s="8" t="s">
        <v>28</v>
      </c>
      <c r="B12" s="9" t="s">
        <v>29</v>
      </c>
      <c r="C12" s="8" t="s">
        <v>30</v>
      </c>
      <c r="D12" s="12">
        <v>1.0</v>
      </c>
      <c r="E12" s="12">
        <v>2.0</v>
      </c>
      <c r="F12" s="10">
        <f t="shared" si="2"/>
        <v>2</v>
      </c>
    </row>
    <row r="13">
      <c r="A13" s="8" t="s">
        <v>31</v>
      </c>
      <c r="B13" s="9" t="s">
        <v>32</v>
      </c>
      <c r="C13" s="8" t="s">
        <v>33</v>
      </c>
      <c r="D13" s="12">
        <v>1.0</v>
      </c>
      <c r="E13" s="12">
        <v>3.0</v>
      </c>
      <c r="F13" s="10">
        <f t="shared" si="2"/>
        <v>3</v>
      </c>
    </row>
    <row r="14">
      <c r="A14" s="4" t="s">
        <v>34</v>
      </c>
      <c r="B14" s="5" t="s">
        <v>35</v>
      </c>
      <c r="C14" s="4"/>
      <c r="D14" s="4"/>
      <c r="E14" s="4"/>
      <c r="F14" s="4"/>
    </row>
    <row r="15">
      <c r="A15" s="6" t="s">
        <v>36</v>
      </c>
      <c r="B15" s="7" t="s">
        <v>37</v>
      </c>
      <c r="C15" s="6"/>
      <c r="D15" s="6"/>
      <c r="E15" s="6"/>
      <c r="F15" s="6"/>
    </row>
    <row r="16">
      <c r="A16" s="8" t="s">
        <v>38</v>
      </c>
      <c r="B16" s="9" t="s">
        <v>39</v>
      </c>
      <c r="C16" s="8" t="s">
        <v>40</v>
      </c>
      <c r="D16" s="12">
        <v>2.0</v>
      </c>
      <c r="E16" s="12">
        <v>3.0</v>
      </c>
      <c r="F16" s="10">
        <f t="shared" ref="F16:F18" si="3">IF(AND(D16&lt;&gt;"",E16&lt;&gt;""),E16/D16,"")</f>
        <v>1.5</v>
      </c>
    </row>
    <row r="17">
      <c r="A17" s="8" t="s">
        <v>41</v>
      </c>
      <c r="B17" s="9" t="s">
        <v>42</v>
      </c>
      <c r="C17" s="8" t="s">
        <v>43</v>
      </c>
      <c r="D17" s="12">
        <v>2.0</v>
      </c>
      <c r="E17" s="12">
        <v>4.0</v>
      </c>
      <c r="F17" s="10">
        <f t="shared" si="3"/>
        <v>2</v>
      </c>
    </row>
    <row r="18">
      <c r="A18" s="8" t="s">
        <v>44</v>
      </c>
      <c r="B18" s="9" t="s">
        <v>45</v>
      </c>
      <c r="C18" s="8" t="s">
        <v>46</v>
      </c>
      <c r="D18" s="12">
        <v>2.0</v>
      </c>
      <c r="E18" s="12">
        <v>4.0</v>
      </c>
      <c r="F18" s="10">
        <f t="shared" si="3"/>
        <v>2</v>
      </c>
    </row>
    <row r="19">
      <c r="A19" s="6" t="s">
        <v>47</v>
      </c>
      <c r="B19" s="7" t="s">
        <v>48</v>
      </c>
      <c r="C19" s="6"/>
      <c r="D19" s="6"/>
      <c r="E19" s="6"/>
      <c r="F19" s="6"/>
    </row>
    <row r="20">
      <c r="A20" s="8" t="s">
        <v>49</v>
      </c>
      <c r="B20" s="9" t="s">
        <v>50</v>
      </c>
      <c r="C20" s="8" t="s">
        <v>51</v>
      </c>
      <c r="D20" s="12">
        <v>3.0</v>
      </c>
      <c r="E20" s="12">
        <v>4.0</v>
      </c>
      <c r="F20" s="10">
        <f t="shared" ref="F20:F21" si="4">IF(AND(D20&lt;&gt;"",E20&lt;&gt;""),E20/D20,"")</f>
        <v>1.333333333</v>
      </c>
    </row>
    <row r="21" ht="15.75" customHeight="1">
      <c r="A21" s="8" t="s">
        <v>52</v>
      </c>
      <c r="B21" s="9" t="s">
        <v>53</v>
      </c>
      <c r="C21" s="8" t="s">
        <v>54</v>
      </c>
      <c r="D21" s="12">
        <v>1.0</v>
      </c>
      <c r="E21" s="12">
        <v>4.0</v>
      </c>
      <c r="F21" s="10">
        <f t="shared" si="4"/>
        <v>4</v>
      </c>
    </row>
    <row r="22" ht="15.75" customHeight="1">
      <c r="A22" s="4" t="s">
        <v>55</v>
      </c>
      <c r="B22" s="5" t="s">
        <v>56</v>
      </c>
      <c r="C22" s="4"/>
      <c r="D22" s="4"/>
      <c r="E22" s="4"/>
      <c r="F22" s="4"/>
    </row>
    <row r="23" ht="15.75" customHeight="1">
      <c r="A23" s="6" t="s">
        <v>57</v>
      </c>
      <c r="B23" s="7" t="s">
        <v>58</v>
      </c>
      <c r="C23" s="6"/>
      <c r="D23" s="6"/>
      <c r="E23" s="6"/>
      <c r="F23" s="6"/>
    </row>
    <row r="24" ht="15.75" customHeight="1">
      <c r="A24" s="8" t="s">
        <v>59</v>
      </c>
      <c r="B24" s="9" t="s">
        <v>60</v>
      </c>
      <c r="C24" s="8" t="s">
        <v>61</v>
      </c>
      <c r="D24" s="12">
        <v>2.0</v>
      </c>
      <c r="E24" s="12">
        <v>5.0</v>
      </c>
      <c r="F24" s="10">
        <f t="shared" ref="F24:F27" si="5">IF(AND(D24&lt;&gt;"",E24&lt;&gt;""),E24/D24,"")</f>
        <v>2.5</v>
      </c>
    </row>
    <row r="25" ht="15.75" customHeight="1">
      <c r="A25" s="8" t="s">
        <v>62</v>
      </c>
      <c r="B25" s="9" t="s">
        <v>63</v>
      </c>
      <c r="C25" s="8" t="s">
        <v>64</v>
      </c>
      <c r="D25" s="12">
        <v>1.0</v>
      </c>
      <c r="E25" s="12">
        <v>4.0</v>
      </c>
      <c r="F25" s="10">
        <f t="shared" si="5"/>
        <v>4</v>
      </c>
    </row>
    <row r="26" ht="15.75" customHeight="1">
      <c r="A26" s="8" t="s">
        <v>65</v>
      </c>
      <c r="B26" s="9" t="s">
        <v>66</v>
      </c>
      <c r="C26" s="8" t="s">
        <v>67</v>
      </c>
      <c r="D26" s="12">
        <v>2.0</v>
      </c>
      <c r="E26" s="12">
        <v>4.0</v>
      </c>
      <c r="F26" s="10">
        <f t="shared" si="5"/>
        <v>2</v>
      </c>
    </row>
    <row r="27" ht="15.75" customHeight="1">
      <c r="A27" s="8" t="s">
        <v>68</v>
      </c>
      <c r="B27" s="9" t="s">
        <v>69</v>
      </c>
      <c r="C27" s="8" t="s">
        <v>70</v>
      </c>
      <c r="D27" s="12">
        <v>1.0</v>
      </c>
      <c r="E27" s="12">
        <v>3.0</v>
      </c>
      <c r="F27" s="10">
        <f t="shared" si="5"/>
        <v>3</v>
      </c>
    </row>
    <row r="28" ht="15.75" customHeight="1">
      <c r="A28" s="6" t="s">
        <v>71</v>
      </c>
      <c r="B28" s="7" t="s">
        <v>72</v>
      </c>
      <c r="C28" s="6"/>
      <c r="D28" s="6"/>
      <c r="E28" s="6"/>
      <c r="F28" s="6"/>
    </row>
    <row r="29" ht="15.75" customHeight="1">
      <c r="A29" s="8" t="s">
        <v>73</v>
      </c>
      <c r="B29" s="9" t="s">
        <v>74</v>
      </c>
      <c r="C29" s="8" t="s">
        <v>75</v>
      </c>
      <c r="D29" s="12">
        <v>3.0</v>
      </c>
      <c r="E29" s="12">
        <v>5.0</v>
      </c>
      <c r="F29" s="10">
        <f t="shared" ref="F29:F33" si="6">IF(AND(D29&lt;&gt;"",E29&lt;&gt;""),E29/D29,"")</f>
        <v>1.666666667</v>
      </c>
    </row>
    <row r="30" ht="15.75" customHeight="1">
      <c r="A30" s="8" t="s">
        <v>76</v>
      </c>
      <c r="B30" s="9" t="s">
        <v>77</v>
      </c>
      <c r="C30" s="8" t="s">
        <v>78</v>
      </c>
      <c r="D30" s="12">
        <v>2.0</v>
      </c>
      <c r="E30" s="12">
        <v>5.0</v>
      </c>
      <c r="F30" s="10">
        <f t="shared" si="6"/>
        <v>2.5</v>
      </c>
    </row>
    <row r="31" ht="15.75" customHeight="1">
      <c r="A31" s="8" t="s">
        <v>79</v>
      </c>
      <c r="B31" s="9" t="s">
        <v>80</v>
      </c>
      <c r="C31" s="8" t="s">
        <v>81</v>
      </c>
      <c r="D31" s="12">
        <v>3.0</v>
      </c>
      <c r="E31" s="12">
        <v>5.0</v>
      </c>
      <c r="F31" s="10">
        <f t="shared" si="6"/>
        <v>1.666666667</v>
      </c>
    </row>
    <row r="32" ht="15.75" customHeight="1">
      <c r="A32" s="8" t="s">
        <v>82</v>
      </c>
      <c r="B32" s="9" t="s">
        <v>83</v>
      </c>
      <c r="C32" s="8" t="s">
        <v>84</v>
      </c>
      <c r="D32" s="12">
        <v>1.0</v>
      </c>
      <c r="E32" s="12">
        <v>4.0</v>
      </c>
      <c r="F32" s="10">
        <f t="shared" si="6"/>
        <v>4</v>
      </c>
    </row>
    <row r="33" ht="15.75" customHeight="1">
      <c r="A33" s="8" t="s">
        <v>85</v>
      </c>
      <c r="B33" s="9" t="s">
        <v>86</v>
      </c>
      <c r="C33" s="8" t="s">
        <v>87</v>
      </c>
      <c r="D33" s="12">
        <v>1.0</v>
      </c>
      <c r="E33" s="12">
        <v>4.0</v>
      </c>
      <c r="F33" s="10">
        <f t="shared" si="6"/>
        <v>4</v>
      </c>
    </row>
    <row r="34" ht="15.75" customHeight="1">
      <c r="A34" s="4" t="s">
        <v>88</v>
      </c>
      <c r="B34" s="5" t="s">
        <v>89</v>
      </c>
      <c r="C34" s="4"/>
      <c r="D34" s="4"/>
      <c r="E34" s="4"/>
      <c r="F34" s="4"/>
    </row>
    <row r="35" ht="15.75" customHeight="1">
      <c r="A35" s="6" t="s">
        <v>90</v>
      </c>
      <c r="B35" s="7" t="s">
        <v>91</v>
      </c>
      <c r="C35" s="6"/>
      <c r="D35" s="6"/>
      <c r="E35" s="6"/>
      <c r="F35" s="6"/>
    </row>
    <row r="36" ht="15.75" customHeight="1">
      <c r="A36" s="8" t="s">
        <v>92</v>
      </c>
      <c r="B36" s="9" t="s">
        <v>93</v>
      </c>
      <c r="C36" s="8" t="s">
        <v>94</v>
      </c>
      <c r="D36" s="12">
        <v>4.0</v>
      </c>
      <c r="E36" s="12">
        <v>3.0</v>
      </c>
      <c r="F36" s="10">
        <f t="shared" ref="F36:F39" si="7">IF(AND(D36&lt;&gt;"",E36&lt;&gt;""),E36/D36,"")</f>
        <v>0.75</v>
      </c>
    </row>
    <row r="37" ht="15.75" customHeight="1">
      <c r="A37" s="8" t="s">
        <v>95</v>
      </c>
      <c r="B37" s="9" t="s">
        <v>96</v>
      </c>
      <c r="C37" s="8" t="s">
        <v>97</v>
      </c>
      <c r="D37" s="12">
        <v>3.0</v>
      </c>
      <c r="E37" s="12">
        <v>3.0</v>
      </c>
      <c r="F37" s="10">
        <f t="shared" si="7"/>
        <v>1</v>
      </c>
    </row>
    <row r="38" ht="15.75" customHeight="1">
      <c r="A38" s="8" t="s">
        <v>98</v>
      </c>
      <c r="B38" s="9" t="s">
        <v>99</v>
      </c>
      <c r="C38" s="8" t="s">
        <v>100</v>
      </c>
      <c r="D38" s="12">
        <v>3.0</v>
      </c>
      <c r="E38" s="12">
        <v>2.0</v>
      </c>
      <c r="F38" s="10">
        <f t="shared" si="7"/>
        <v>0.6666666667</v>
      </c>
    </row>
    <row r="39" ht="15.75" customHeight="1">
      <c r="A39" s="8" t="s">
        <v>101</v>
      </c>
      <c r="B39" s="9" t="s">
        <v>102</v>
      </c>
      <c r="C39" s="8" t="s">
        <v>103</v>
      </c>
      <c r="D39" s="12">
        <v>1.0</v>
      </c>
      <c r="E39" s="12">
        <v>3.0</v>
      </c>
      <c r="F39" s="10">
        <f t="shared" si="7"/>
        <v>3</v>
      </c>
    </row>
    <row r="40" ht="15.75" customHeight="1">
      <c r="A40" s="4" t="s">
        <v>104</v>
      </c>
      <c r="B40" s="5" t="s">
        <v>105</v>
      </c>
      <c r="C40" s="4"/>
      <c r="D40" s="4"/>
      <c r="E40" s="4"/>
      <c r="F40" s="4"/>
    </row>
    <row r="41" ht="15.75" customHeight="1">
      <c r="A41" s="6" t="s">
        <v>106</v>
      </c>
      <c r="B41" s="7" t="s">
        <v>107</v>
      </c>
      <c r="C41" s="6"/>
      <c r="D41" s="6"/>
      <c r="E41" s="6"/>
      <c r="F41" s="6"/>
    </row>
    <row r="42" ht="15.75" customHeight="1">
      <c r="A42" s="8" t="s">
        <v>108</v>
      </c>
      <c r="B42" s="9" t="s">
        <v>109</v>
      </c>
      <c r="C42" s="8" t="s">
        <v>110</v>
      </c>
      <c r="D42" s="12">
        <v>3.0</v>
      </c>
      <c r="E42" s="12">
        <v>2.0</v>
      </c>
      <c r="F42" s="10">
        <f t="shared" ref="F42:F43" si="8">IF(AND(D42&lt;&gt;"",E42&lt;&gt;""),E42/D42,"")</f>
        <v>0.6666666667</v>
      </c>
    </row>
    <row r="43" ht="15.75" customHeight="1">
      <c r="A43" s="8" t="s">
        <v>111</v>
      </c>
      <c r="B43" s="9" t="s">
        <v>112</v>
      </c>
      <c r="C43" s="8" t="s">
        <v>113</v>
      </c>
      <c r="D43" s="12">
        <v>3.0</v>
      </c>
      <c r="E43" s="12">
        <v>2.0</v>
      </c>
      <c r="F43" s="10">
        <f t="shared" si="8"/>
        <v>0.6666666667</v>
      </c>
    </row>
    <row r="44" ht="15.75" customHeight="1">
      <c r="A44" s="6" t="s">
        <v>114</v>
      </c>
      <c r="B44" s="7" t="s">
        <v>115</v>
      </c>
      <c r="C44" s="6"/>
      <c r="D44" s="6"/>
      <c r="E44" s="6"/>
      <c r="F44" s="6"/>
    </row>
    <row r="45" ht="15.75" customHeight="1">
      <c r="A45" s="8" t="s">
        <v>116</v>
      </c>
      <c r="B45" s="9" t="s">
        <v>117</v>
      </c>
      <c r="C45" s="8" t="s">
        <v>118</v>
      </c>
      <c r="D45" s="12">
        <v>2.0</v>
      </c>
      <c r="E45" s="12">
        <v>4.0</v>
      </c>
      <c r="F45" s="10">
        <f t="shared" ref="F45:F46" si="9">IF(AND(D45&lt;&gt;"",E45&lt;&gt;""),E45/D45,"")</f>
        <v>2</v>
      </c>
    </row>
    <row r="46" ht="15.75" customHeight="1">
      <c r="A46" s="8" t="s">
        <v>119</v>
      </c>
      <c r="B46" s="9" t="s">
        <v>120</v>
      </c>
      <c r="C46" s="8" t="s">
        <v>121</v>
      </c>
      <c r="D46" s="12">
        <v>2.0</v>
      </c>
      <c r="E46" s="12">
        <v>3.0</v>
      </c>
      <c r="F46" s="10">
        <f t="shared" si="9"/>
        <v>1.5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45.0"/>
    <col customWidth="1" min="3" max="3" width="8.0"/>
    <col customWidth="1" min="4" max="4" width="20.0"/>
    <col customWidth="1" min="5" max="5" width="22.0"/>
    <col customWidth="1" min="6" max="6" width="20.0"/>
    <col customWidth="1" min="7" max="26" width="8.71"/>
  </cols>
  <sheetData>
    <row r="1">
      <c r="A1" s="1" t="s">
        <v>133</v>
      </c>
    </row>
    <row r="2" ht="30.0" customHeight="1">
      <c r="A2" s="2" t="s">
        <v>123</v>
      </c>
    </row>
    <row r="3">
      <c r="A3" s="3" t="s">
        <v>2</v>
      </c>
      <c r="B3" s="3" t="s">
        <v>3</v>
      </c>
      <c r="C3" s="3" t="s">
        <v>4</v>
      </c>
      <c r="D3" s="3" t="s">
        <v>124</v>
      </c>
      <c r="E3" s="3" t="s">
        <v>125</v>
      </c>
      <c r="F3" s="3" t="s">
        <v>126</v>
      </c>
    </row>
    <row r="4">
      <c r="A4" s="4" t="s">
        <v>7</v>
      </c>
      <c r="B4" s="5" t="s">
        <v>8</v>
      </c>
      <c r="C4" s="4"/>
      <c r="D4" s="4"/>
      <c r="E4" s="4"/>
      <c r="F4" s="4"/>
    </row>
    <row r="5">
      <c r="A5" s="6" t="s">
        <v>9</v>
      </c>
      <c r="B5" s="7" t="s">
        <v>10</v>
      </c>
      <c r="C5" s="6"/>
      <c r="D5" s="6"/>
      <c r="E5" s="6"/>
      <c r="F5" s="6"/>
    </row>
    <row r="6">
      <c r="A6" s="8" t="s">
        <v>11</v>
      </c>
      <c r="B6" s="9" t="s">
        <v>12</v>
      </c>
      <c r="C6" s="8" t="s">
        <v>13</v>
      </c>
      <c r="D6" s="12">
        <v>1.0</v>
      </c>
      <c r="E6" s="12">
        <v>5.0</v>
      </c>
      <c r="F6" s="10">
        <f t="shared" ref="F6:F9" si="1">IF(AND(D6&lt;&gt;"",E6&lt;&gt;""),E6/D6,"")</f>
        <v>5</v>
      </c>
    </row>
    <row r="7">
      <c r="A7" s="8" t="s">
        <v>14</v>
      </c>
      <c r="B7" s="9" t="s">
        <v>15</v>
      </c>
      <c r="C7" s="8" t="s">
        <v>16</v>
      </c>
      <c r="D7" s="12">
        <v>1.0</v>
      </c>
      <c r="E7" s="12">
        <v>5.0</v>
      </c>
      <c r="F7" s="10">
        <f t="shared" si="1"/>
        <v>5</v>
      </c>
    </row>
    <row r="8">
      <c r="A8" s="8" t="s">
        <v>17</v>
      </c>
      <c r="B8" s="9" t="s">
        <v>18</v>
      </c>
      <c r="C8" s="8" t="s">
        <v>19</v>
      </c>
      <c r="D8" s="12">
        <v>1.0</v>
      </c>
      <c r="E8" s="12">
        <v>5.0</v>
      </c>
      <c r="F8" s="10">
        <f t="shared" si="1"/>
        <v>5</v>
      </c>
    </row>
    <row r="9">
      <c r="A9" s="8" t="s">
        <v>20</v>
      </c>
      <c r="B9" s="9" t="s">
        <v>21</v>
      </c>
      <c r="C9" s="8" t="s">
        <v>22</v>
      </c>
      <c r="D9" s="12">
        <v>3.0</v>
      </c>
      <c r="E9" s="12">
        <v>5.0</v>
      </c>
      <c r="F9" s="10">
        <f t="shared" si="1"/>
        <v>1.666666667</v>
      </c>
    </row>
    <row r="10">
      <c r="A10" s="6" t="s">
        <v>23</v>
      </c>
      <c r="B10" s="7" t="s">
        <v>24</v>
      </c>
      <c r="C10" s="6"/>
      <c r="D10" s="6"/>
      <c r="E10" s="6"/>
      <c r="F10" s="6"/>
    </row>
    <row r="11">
      <c r="A11" s="8" t="s">
        <v>25</v>
      </c>
      <c r="B11" s="9" t="s">
        <v>26</v>
      </c>
      <c r="C11" s="8" t="s">
        <v>27</v>
      </c>
      <c r="D11" s="12">
        <v>3.0</v>
      </c>
      <c r="E11" s="12">
        <v>3.0</v>
      </c>
      <c r="F11" s="10">
        <f t="shared" ref="F11:F13" si="2">IF(AND(D11&lt;&gt;"",E11&lt;&gt;""),E11/D11,"")</f>
        <v>1</v>
      </c>
    </row>
    <row r="12">
      <c r="A12" s="8" t="s">
        <v>28</v>
      </c>
      <c r="B12" s="9" t="s">
        <v>29</v>
      </c>
      <c r="C12" s="8" t="s">
        <v>30</v>
      </c>
      <c r="D12" s="12">
        <v>1.0</v>
      </c>
      <c r="E12" s="12">
        <v>3.0</v>
      </c>
      <c r="F12" s="10">
        <f t="shared" si="2"/>
        <v>3</v>
      </c>
    </row>
    <row r="13">
      <c r="A13" s="8" t="s">
        <v>31</v>
      </c>
      <c r="B13" s="9" t="s">
        <v>32</v>
      </c>
      <c r="C13" s="8" t="s">
        <v>33</v>
      </c>
      <c r="D13" s="12">
        <v>2.0</v>
      </c>
      <c r="E13" s="12">
        <v>3.0</v>
      </c>
      <c r="F13" s="10">
        <f t="shared" si="2"/>
        <v>1.5</v>
      </c>
    </row>
    <row r="14">
      <c r="A14" s="4" t="s">
        <v>34</v>
      </c>
      <c r="B14" s="5" t="s">
        <v>35</v>
      </c>
      <c r="C14" s="4"/>
      <c r="D14" s="4"/>
      <c r="E14" s="4"/>
      <c r="F14" s="4"/>
    </row>
    <row r="15">
      <c r="A15" s="6" t="s">
        <v>36</v>
      </c>
      <c r="B15" s="7" t="s">
        <v>37</v>
      </c>
      <c r="C15" s="6"/>
      <c r="D15" s="6"/>
      <c r="E15" s="6"/>
      <c r="F15" s="6"/>
    </row>
    <row r="16">
      <c r="A16" s="8" t="s">
        <v>38</v>
      </c>
      <c r="B16" s="9" t="s">
        <v>39</v>
      </c>
      <c r="C16" s="8" t="s">
        <v>40</v>
      </c>
      <c r="D16" s="12">
        <v>2.0</v>
      </c>
      <c r="E16" s="12">
        <v>4.0</v>
      </c>
      <c r="F16" s="10">
        <f t="shared" ref="F16:F18" si="3">IF(AND(D16&lt;&gt;"",E16&lt;&gt;""),E16/D16,"")</f>
        <v>2</v>
      </c>
    </row>
    <row r="17">
      <c r="A17" s="8" t="s">
        <v>41</v>
      </c>
      <c r="B17" s="9" t="s">
        <v>42</v>
      </c>
      <c r="C17" s="8" t="s">
        <v>43</v>
      </c>
      <c r="D17" s="12">
        <v>3.0</v>
      </c>
      <c r="E17" s="12">
        <v>4.0</v>
      </c>
      <c r="F17" s="10">
        <f t="shared" si="3"/>
        <v>1.333333333</v>
      </c>
    </row>
    <row r="18">
      <c r="A18" s="8" t="s">
        <v>44</v>
      </c>
      <c r="B18" s="9" t="s">
        <v>45</v>
      </c>
      <c r="C18" s="8" t="s">
        <v>46</v>
      </c>
      <c r="D18" s="12">
        <v>3.0</v>
      </c>
      <c r="E18" s="12">
        <v>2.0</v>
      </c>
      <c r="F18" s="10">
        <f t="shared" si="3"/>
        <v>0.6666666667</v>
      </c>
    </row>
    <row r="19">
      <c r="A19" s="6" t="s">
        <v>47</v>
      </c>
      <c r="B19" s="7" t="s">
        <v>48</v>
      </c>
      <c r="C19" s="6"/>
      <c r="D19" s="6"/>
      <c r="E19" s="6"/>
      <c r="F19" s="6"/>
    </row>
    <row r="20">
      <c r="A20" s="8" t="s">
        <v>49</v>
      </c>
      <c r="B20" s="9" t="s">
        <v>50</v>
      </c>
      <c r="C20" s="8" t="s">
        <v>51</v>
      </c>
      <c r="D20" s="12">
        <v>2.0</v>
      </c>
      <c r="E20" s="12">
        <v>4.0</v>
      </c>
      <c r="F20" s="10">
        <f t="shared" ref="F20:F21" si="4">IF(AND(D20&lt;&gt;"",E20&lt;&gt;""),E20/D20,"")</f>
        <v>2</v>
      </c>
    </row>
    <row r="21" ht="15.75" customHeight="1">
      <c r="A21" s="8" t="s">
        <v>52</v>
      </c>
      <c r="B21" s="9" t="s">
        <v>53</v>
      </c>
      <c r="C21" s="8" t="s">
        <v>54</v>
      </c>
      <c r="D21" s="12">
        <v>1.0</v>
      </c>
      <c r="E21" s="12">
        <v>3.0</v>
      </c>
      <c r="F21" s="10">
        <f t="shared" si="4"/>
        <v>3</v>
      </c>
    </row>
    <row r="22" ht="15.75" customHeight="1">
      <c r="A22" s="4" t="s">
        <v>55</v>
      </c>
      <c r="B22" s="5" t="s">
        <v>56</v>
      </c>
      <c r="C22" s="4"/>
      <c r="D22" s="4"/>
      <c r="E22" s="4"/>
      <c r="F22" s="4"/>
    </row>
    <row r="23" ht="15.75" customHeight="1">
      <c r="A23" s="6" t="s">
        <v>57</v>
      </c>
      <c r="B23" s="7" t="s">
        <v>58</v>
      </c>
      <c r="C23" s="6"/>
      <c r="D23" s="6"/>
      <c r="E23" s="6"/>
      <c r="F23" s="6"/>
    </row>
    <row r="24" ht="15.75" customHeight="1">
      <c r="A24" s="8" t="s">
        <v>59</v>
      </c>
      <c r="B24" s="9" t="s">
        <v>60</v>
      </c>
      <c r="C24" s="8" t="s">
        <v>61</v>
      </c>
      <c r="D24" s="12">
        <v>1.0</v>
      </c>
      <c r="E24" s="12">
        <v>5.0</v>
      </c>
      <c r="F24" s="10">
        <f t="shared" ref="F24:F27" si="5">IF(AND(D24&lt;&gt;"",E24&lt;&gt;""),E24/D24,"")</f>
        <v>5</v>
      </c>
    </row>
    <row r="25" ht="15.75" customHeight="1">
      <c r="A25" s="8" t="s">
        <v>62</v>
      </c>
      <c r="B25" s="9" t="s">
        <v>63</v>
      </c>
      <c r="C25" s="8" t="s">
        <v>64</v>
      </c>
      <c r="D25" s="12">
        <v>1.0</v>
      </c>
      <c r="E25" s="12">
        <v>5.0</v>
      </c>
      <c r="F25" s="10">
        <f t="shared" si="5"/>
        <v>5</v>
      </c>
    </row>
    <row r="26" ht="15.75" customHeight="1">
      <c r="A26" s="8" t="s">
        <v>65</v>
      </c>
      <c r="B26" s="9" t="s">
        <v>66</v>
      </c>
      <c r="C26" s="8" t="s">
        <v>67</v>
      </c>
      <c r="D26" s="12">
        <v>1.0</v>
      </c>
      <c r="E26" s="12">
        <v>5.0</v>
      </c>
      <c r="F26" s="10">
        <f t="shared" si="5"/>
        <v>5</v>
      </c>
    </row>
    <row r="27" ht="15.75" customHeight="1">
      <c r="A27" s="8" t="s">
        <v>68</v>
      </c>
      <c r="B27" s="9" t="s">
        <v>69</v>
      </c>
      <c r="C27" s="8" t="s">
        <v>70</v>
      </c>
      <c r="D27" s="12">
        <v>1.0</v>
      </c>
      <c r="E27" s="12">
        <v>5.0</v>
      </c>
      <c r="F27" s="10">
        <f t="shared" si="5"/>
        <v>5</v>
      </c>
    </row>
    <row r="28" ht="15.75" customHeight="1">
      <c r="A28" s="6" t="s">
        <v>71</v>
      </c>
      <c r="B28" s="7" t="s">
        <v>72</v>
      </c>
      <c r="C28" s="6"/>
      <c r="D28" s="6"/>
      <c r="E28" s="6"/>
      <c r="F28" s="6"/>
    </row>
    <row r="29" ht="15.75" customHeight="1">
      <c r="A29" s="8" t="s">
        <v>73</v>
      </c>
      <c r="B29" s="9" t="s">
        <v>74</v>
      </c>
      <c r="C29" s="8" t="s">
        <v>75</v>
      </c>
      <c r="D29" s="12">
        <v>1.0</v>
      </c>
      <c r="E29" s="12">
        <v>5.0</v>
      </c>
      <c r="F29" s="10">
        <f t="shared" ref="F29:F33" si="6">IF(AND(D29&lt;&gt;"",E29&lt;&gt;""),E29/D29,"")</f>
        <v>5</v>
      </c>
    </row>
    <row r="30" ht="15.75" customHeight="1">
      <c r="A30" s="8" t="s">
        <v>76</v>
      </c>
      <c r="B30" s="9" t="s">
        <v>77</v>
      </c>
      <c r="C30" s="8" t="s">
        <v>78</v>
      </c>
      <c r="D30" s="12">
        <v>1.0</v>
      </c>
      <c r="E30" s="12">
        <v>5.0</v>
      </c>
      <c r="F30" s="10">
        <f t="shared" si="6"/>
        <v>5</v>
      </c>
    </row>
    <row r="31" ht="15.75" customHeight="1">
      <c r="A31" s="8" t="s">
        <v>79</v>
      </c>
      <c r="B31" s="9" t="s">
        <v>80</v>
      </c>
      <c r="C31" s="8" t="s">
        <v>81</v>
      </c>
      <c r="D31" s="12">
        <v>1.0</v>
      </c>
      <c r="E31" s="12">
        <v>5.0</v>
      </c>
      <c r="F31" s="10">
        <f t="shared" si="6"/>
        <v>5</v>
      </c>
    </row>
    <row r="32" ht="15.75" customHeight="1">
      <c r="A32" s="8" t="s">
        <v>82</v>
      </c>
      <c r="B32" s="9" t="s">
        <v>83</v>
      </c>
      <c r="C32" s="8" t="s">
        <v>84</v>
      </c>
      <c r="D32" s="12">
        <v>1.0</v>
      </c>
      <c r="E32" s="12">
        <v>5.0</v>
      </c>
      <c r="F32" s="10">
        <f t="shared" si="6"/>
        <v>5</v>
      </c>
    </row>
    <row r="33" ht="15.75" customHeight="1">
      <c r="A33" s="8" t="s">
        <v>85</v>
      </c>
      <c r="B33" s="9" t="s">
        <v>86</v>
      </c>
      <c r="C33" s="8" t="s">
        <v>87</v>
      </c>
      <c r="D33" s="12">
        <v>1.0</v>
      </c>
      <c r="E33" s="12">
        <v>5.0</v>
      </c>
      <c r="F33" s="10">
        <f t="shared" si="6"/>
        <v>5</v>
      </c>
    </row>
    <row r="34" ht="15.75" customHeight="1">
      <c r="A34" s="4" t="s">
        <v>88</v>
      </c>
      <c r="B34" s="5" t="s">
        <v>89</v>
      </c>
      <c r="C34" s="4"/>
      <c r="D34" s="4"/>
      <c r="E34" s="4"/>
      <c r="F34" s="4"/>
    </row>
    <row r="35" ht="15.75" customHeight="1">
      <c r="A35" s="6" t="s">
        <v>90</v>
      </c>
      <c r="B35" s="7" t="s">
        <v>91</v>
      </c>
      <c r="C35" s="6"/>
      <c r="D35" s="6"/>
      <c r="E35" s="6"/>
      <c r="F35" s="6"/>
    </row>
    <row r="36" ht="15.75" customHeight="1">
      <c r="A36" s="8" t="s">
        <v>92</v>
      </c>
      <c r="B36" s="9" t="s">
        <v>93</v>
      </c>
      <c r="C36" s="8" t="s">
        <v>94</v>
      </c>
      <c r="D36" s="12">
        <v>1.0</v>
      </c>
      <c r="E36" s="12">
        <v>5.0</v>
      </c>
      <c r="F36" s="10">
        <f t="shared" ref="F36:F39" si="7">IF(AND(D36&lt;&gt;"",E36&lt;&gt;""),E36/D36,"")</f>
        <v>5</v>
      </c>
    </row>
    <row r="37" ht="15.75" customHeight="1">
      <c r="A37" s="8" t="s">
        <v>95</v>
      </c>
      <c r="B37" s="9" t="s">
        <v>96</v>
      </c>
      <c r="C37" s="8" t="s">
        <v>97</v>
      </c>
      <c r="D37" s="12">
        <v>1.0</v>
      </c>
      <c r="E37" s="12">
        <v>5.0</v>
      </c>
      <c r="F37" s="10">
        <f t="shared" si="7"/>
        <v>5</v>
      </c>
    </row>
    <row r="38" ht="15.75" customHeight="1">
      <c r="A38" s="8" t="s">
        <v>98</v>
      </c>
      <c r="B38" s="9" t="s">
        <v>99</v>
      </c>
      <c r="C38" s="8" t="s">
        <v>100</v>
      </c>
      <c r="D38" s="12">
        <v>1.0</v>
      </c>
      <c r="E38" s="12">
        <v>5.0</v>
      </c>
      <c r="F38" s="10">
        <f t="shared" si="7"/>
        <v>5</v>
      </c>
    </row>
    <row r="39" ht="15.75" customHeight="1">
      <c r="A39" s="8" t="s">
        <v>101</v>
      </c>
      <c r="B39" s="9" t="s">
        <v>102</v>
      </c>
      <c r="C39" s="8" t="s">
        <v>103</v>
      </c>
      <c r="D39" s="12">
        <v>1.0</v>
      </c>
      <c r="E39" s="12">
        <v>5.0</v>
      </c>
      <c r="F39" s="10">
        <f t="shared" si="7"/>
        <v>5</v>
      </c>
    </row>
    <row r="40" ht="15.75" customHeight="1">
      <c r="A40" s="4" t="s">
        <v>104</v>
      </c>
      <c r="B40" s="5" t="s">
        <v>105</v>
      </c>
      <c r="C40" s="4"/>
      <c r="D40" s="4"/>
      <c r="E40" s="4"/>
      <c r="F40" s="4"/>
    </row>
    <row r="41" ht="15.75" customHeight="1">
      <c r="A41" s="6" t="s">
        <v>106</v>
      </c>
      <c r="B41" s="7" t="s">
        <v>107</v>
      </c>
      <c r="C41" s="6"/>
      <c r="D41" s="6"/>
      <c r="E41" s="6"/>
      <c r="F41" s="6"/>
    </row>
    <row r="42" ht="15.75" customHeight="1">
      <c r="A42" s="8" t="s">
        <v>108</v>
      </c>
      <c r="B42" s="9" t="s">
        <v>109</v>
      </c>
      <c r="C42" s="8" t="s">
        <v>110</v>
      </c>
      <c r="D42" s="12">
        <v>1.0</v>
      </c>
      <c r="E42" s="12">
        <v>4.0</v>
      </c>
      <c r="F42" s="10">
        <f t="shared" ref="F42:F43" si="8">IF(AND(D42&lt;&gt;"",E42&lt;&gt;""),E42/D42,"")</f>
        <v>4</v>
      </c>
    </row>
    <row r="43" ht="15.75" customHeight="1">
      <c r="A43" s="8" t="s">
        <v>111</v>
      </c>
      <c r="B43" s="9" t="s">
        <v>112</v>
      </c>
      <c r="C43" s="8" t="s">
        <v>113</v>
      </c>
      <c r="D43" s="12">
        <v>1.0</v>
      </c>
      <c r="E43" s="12">
        <v>4.0</v>
      </c>
      <c r="F43" s="10">
        <f t="shared" si="8"/>
        <v>4</v>
      </c>
    </row>
    <row r="44" ht="15.75" customHeight="1">
      <c r="A44" s="6" t="s">
        <v>114</v>
      </c>
      <c r="B44" s="7" t="s">
        <v>115</v>
      </c>
      <c r="C44" s="6"/>
      <c r="D44" s="6"/>
      <c r="E44" s="6"/>
      <c r="F44" s="6"/>
    </row>
    <row r="45" ht="15.75" customHeight="1">
      <c r="A45" s="8" t="s">
        <v>116</v>
      </c>
      <c r="B45" s="9" t="s">
        <v>117</v>
      </c>
      <c r="C45" s="8" t="s">
        <v>118</v>
      </c>
      <c r="D45" s="12">
        <v>1.0</v>
      </c>
      <c r="E45" s="12">
        <v>4.0</v>
      </c>
      <c r="F45" s="10">
        <f t="shared" ref="F45:F46" si="9">IF(AND(D45&lt;&gt;"",E45&lt;&gt;""),E45/D45,"")</f>
        <v>4</v>
      </c>
    </row>
    <row r="46" ht="15.75" customHeight="1">
      <c r="A46" s="8" t="s">
        <v>119</v>
      </c>
      <c r="B46" s="9" t="s">
        <v>120</v>
      </c>
      <c r="C46" s="8" t="s">
        <v>121</v>
      </c>
      <c r="D46" s="12">
        <v>1.0</v>
      </c>
      <c r="E46" s="12">
        <v>4.0</v>
      </c>
      <c r="F46" s="10">
        <f t="shared" si="9"/>
        <v>4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45.0"/>
    <col customWidth="1" min="3" max="3" width="8.0"/>
    <col customWidth="1" min="4" max="4" width="20.0"/>
    <col customWidth="1" min="5" max="5" width="22.0"/>
    <col customWidth="1" min="6" max="6" width="20.0"/>
    <col customWidth="1" min="7" max="26" width="8.71"/>
  </cols>
  <sheetData>
    <row r="1">
      <c r="A1" s="1" t="s">
        <v>134</v>
      </c>
    </row>
    <row r="2" ht="30.0" customHeight="1">
      <c r="A2" s="2" t="s">
        <v>123</v>
      </c>
    </row>
    <row r="3">
      <c r="A3" s="3" t="s">
        <v>2</v>
      </c>
      <c r="B3" s="3" t="s">
        <v>3</v>
      </c>
      <c r="C3" s="3" t="s">
        <v>4</v>
      </c>
      <c r="D3" s="3" t="s">
        <v>124</v>
      </c>
      <c r="E3" s="3" t="s">
        <v>125</v>
      </c>
      <c r="F3" s="3" t="s">
        <v>126</v>
      </c>
    </row>
    <row r="4">
      <c r="A4" s="4" t="s">
        <v>7</v>
      </c>
      <c r="B4" s="5" t="s">
        <v>8</v>
      </c>
      <c r="C4" s="4"/>
      <c r="D4" s="4"/>
      <c r="E4" s="4"/>
      <c r="F4" s="4"/>
    </row>
    <row r="5">
      <c r="A5" s="6" t="s">
        <v>9</v>
      </c>
      <c r="B5" s="7" t="s">
        <v>10</v>
      </c>
      <c r="C5" s="6"/>
      <c r="D5" s="6"/>
      <c r="E5" s="6"/>
      <c r="F5" s="6"/>
    </row>
    <row r="6">
      <c r="A6" s="8" t="s">
        <v>11</v>
      </c>
      <c r="B6" s="9" t="s">
        <v>12</v>
      </c>
      <c r="C6" s="8" t="s">
        <v>13</v>
      </c>
      <c r="D6" s="13"/>
      <c r="E6" s="13"/>
      <c r="F6" s="10" t="str">
        <f t="shared" ref="F6:F9" si="1">IF(AND(D6&lt;&gt;"",E6&lt;&gt;""),E6/D6,"")</f>
        <v/>
      </c>
    </row>
    <row r="7">
      <c r="A7" s="8" t="s">
        <v>14</v>
      </c>
      <c r="B7" s="9" t="s">
        <v>15</v>
      </c>
      <c r="C7" s="8" t="s">
        <v>16</v>
      </c>
      <c r="D7" s="13"/>
      <c r="E7" s="13"/>
      <c r="F7" s="10" t="str">
        <f t="shared" si="1"/>
        <v/>
      </c>
    </row>
    <row r="8">
      <c r="A8" s="8" t="s">
        <v>17</v>
      </c>
      <c r="B8" s="9" t="s">
        <v>18</v>
      </c>
      <c r="C8" s="8" t="s">
        <v>19</v>
      </c>
      <c r="D8" s="13"/>
      <c r="E8" s="13"/>
      <c r="F8" s="10" t="str">
        <f t="shared" si="1"/>
        <v/>
      </c>
    </row>
    <row r="9">
      <c r="A9" s="8" t="s">
        <v>20</v>
      </c>
      <c r="B9" s="9" t="s">
        <v>21</v>
      </c>
      <c r="C9" s="8" t="s">
        <v>22</v>
      </c>
      <c r="D9" s="13"/>
      <c r="E9" s="13"/>
      <c r="F9" s="10" t="str">
        <f t="shared" si="1"/>
        <v/>
      </c>
    </row>
    <row r="10">
      <c r="A10" s="6" t="s">
        <v>23</v>
      </c>
      <c r="B10" s="7" t="s">
        <v>24</v>
      </c>
      <c r="C10" s="6"/>
      <c r="D10" s="6"/>
      <c r="E10" s="6"/>
      <c r="F10" s="6"/>
    </row>
    <row r="11">
      <c r="A11" s="8" t="s">
        <v>25</v>
      </c>
      <c r="B11" s="9" t="s">
        <v>26</v>
      </c>
      <c r="C11" s="8" t="s">
        <v>27</v>
      </c>
      <c r="D11" s="13"/>
      <c r="E11" s="13"/>
      <c r="F11" s="10" t="str">
        <f t="shared" ref="F11:F13" si="2">IF(AND(D11&lt;&gt;"",E11&lt;&gt;""),E11/D11,"")</f>
        <v/>
      </c>
    </row>
    <row r="12">
      <c r="A12" s="8" t="s">
        <v>28</v>
      </c>
      <c r="B12" s="9" t="s">
        <v>29</v>
      </c>
      <c r="C12" s="8" t="s">
        <v>30</v>
      </c>
      <c r="D12" s="13"/>
      <c r="E12" s="13"/>
      <c r="F12" s="10" t="str">
        <f t="shared" si="2"/>
        <v/>
      </c>
    </row>
    <row r="13">
      <c r="A13" s="8" t="s">
        <v>31</v>
      </c>
      <c r="B13" s="9" t="s">
        <v>32</v>
      </c>
      <c r="C13" s="8" t="s">
        <v>33</v>
      </c>
      <c r="D13" s="13"/>
      <c r="E13" s="13"/>
      <c r="F13" s="10" t="str">
        <f t="shared" si="2"/>
        <v/>
      </c>
    </row>
    <row r="14">
      <c r="A14" s="4" t="s">
        <v>34</v>
      </c>
      <c r="B14" s="5" t="s">
        <v>35</v>
      </c>
      <c r="C14" s="4"/>
      <c r="D14" s="4"/>
      <c r="E14" s="4"/>
      <c r="F14" s="4"/>
    </row>
    <row r="15">
      <c r="A15" s="6" t="s">
        <v>36</v>
      </c>
      <c r="B15" s="7" t="s">
        <v>37</v>
      </c>
      <c r="C15" s="6"/>
      <c r="D15" s="6"/>
      <c r="E15" s="6"/>
      <c r="F15" s="6"/>
    </row>
    <row r="16">
      <c r="A16" s="8" t="s">
        <v>38</v>
      </c>
      <c r="B16" s="9" t="s">
        <v>39</v>
      </c>
      <c r="C16" s="8" t="s">
        <v>40</v>
      </c>
      <c r="D16" s="13"/>
      <c r="E16" s="13"/>
      <c r="F16" s="10" t="str">
        <f t="shared" ref="F16:F18" si="3">IF(AND(D16&lt;&gt;"",E16&lt;&gt;""),E16/D16,"")</f>
        <v/>
      </c>
    </row>
    <row r="17">
      <c r="A17" s="8" t="s">
        <v>41</v>
      </c>
      <c r="B17" s="9" t="s">
        <v>42</v>
      </c>
      <c r="C17" s="8" t="s">
        <v>43</v>
      </c>
      <c r="D17" s="13"/>
      <c r="E17" s="13"/>
      <c r="F17" s="10" t="str">
        <f t="shared" si="3"/>
        <v/>
      </c>
    </row>
    <row r="18">
      <c r="A18" s="8" t="s">
        <v>44</v>
      </c>
      <c r="B18" s="9" t="s">
        <v>45</v>
      </c>
      <c r="C18" s="8" t="s">
        <v>46</v>
      </c>
      <c r="D18" s="13"/>
      <c r="E18" s="13"/>
      <c r="F18" s="10" t="str">
        <f t="shared" si="3"/>
        <v/>
      </c>
    </row>
    <row r="19">
      <c r="A19" s="6" t="s">
        <v>47</v>
      </c>
      <c r="B19" s="7" t="s">
        <v>48</v>
      </c>
      <c r="C19" s="6"/>
      <c r="D19" s="6"/>
      <c r="E19" s="6"/>
      <c r="F19" s="6"/>
    </row>
    <row r="20">
      <c r="A20" s="8" t="s">
        <v>49</v>
      </c>
      <c r="B20" s="9" t="s">
        <v>50</v>
      </c>
      <c r="C20" s="8" t="s">
        <v>51</v>
      </c>
      <c r="D20" s="13"/>
      <c r="E20" s="13"/>
      <c r="F20" s="10" t="str">
        <f t="shared" ref="F20:F21" si="4">IF(AND(D20&lt;&gt;"",E20&lt;&gt;""),E20/D20,"")</f>
        <v/>
      </c>
    </row>
    <row r="21" ht="15.75" customHeight="1">
      <c r="A21" s="8" t="s">
        <v>52</v>
      </c>
      <c r="B21" s="9" t="s">
        <v>53</v>
      </c>
      <c r="C21" s="8" t="s">
        <v>54</v>
      </c>
      <c r="D21" s="13"/>
      <c r="E21" s="13"/>
      <c r="F21" s="10" t="str">
        <f t="shared" si="4"/>
        <v/>
      </c>
    </row>
    <row r="22" ht="15.75" customHeight="1">
      <c r="A22" s="4" t="s">
        <v>55</v>
      </c>
      <c r="B22" s="5" t="s">
        <v>56</v>
      </c>
      <c r="C22" s="4"/>
      <c r="D22" s="4"/>
      <c r="E22" s="4"/>
      <c r="F22" s="4"/>
    </row>
    <row r="23" ht="15.75" customHeight="1">
      <c r="A23" s="6" t="s">
        <v>57</v>
      </c>
      <c r="B23" s="7" t="s">
        <v>58</v>
      </c>
      <c r="C23" s="6"/>
      <c r="D23" s="6"/>
      <c r="E23" s="6"/>
      <c r="F23" s="6"/>
    </row>
    <row r="24" ht="15.75" customHeight="1">
      <c r="A24" s="8" t="s">
        <v>59</v>
      </c>
      <c r="B24" s="9" t="s">
        <v>60</v>
      </c>
      <c r="C24" s="8" t="s">
        <v>61</v>
      </c>
      <c r="D24" s="13"/>
      <c r="E24" s="13"/>
      <c r="F24" s="10" t="str">
        <f t="shared" ref="F24:F27" si="5">IF(AND(D24&lt;&gt;"",E24&lt;&gt;""),E24/D24,"")</f>
        <v/>
      </c>
    </row>
    <row r="25" ht="15.75" customHeight="1">
      <c r="A25" s="8" t="s">
        <v>62</v>
      </c>
      <c r="B25" s="9" t="s">
        <v>63</v>
      </c>
      <c r="C25" s="8" t="s">
        <v>64</v>
      </c>
      <c r="D25" s="13"/>
      <c r="E25" s="13"/>
      <c r="F25" s="10" t="str">
        <f t="shared" si="5"/>
        <v/>
      </c>
    </row>
    <row r="26" ht="15.75" customHeight="1">
      <c r="A26" s="8" t="s">
        <v>65</v>
      </c>
      <c r="B26" s="9" t="s">
        <v>66</v>
      </c>
      <c r="C26" s="8" t="s">
        <v>67</v>
      </c>
      <c r="D26" s="13"/>
      <c r="E26" s="13"/>
      <c r="F26" s="10" t="str">
        <f t="shared" si="5"/>
        <v/>
      </c>
    </row>
    <row r="27" ht="15.75" customHeight="1">
      <c r="A27" s="8" t="s">
        <v>68</v>
      </c>
      <c r="B27" s="9" t="s">
        <v>69</v>
      </c>
      <c r="C27" s="8" t="s">
        <v>70</v>
      </c>
      <c r="D27" s="13"/>
      <c r="E27" s="13"/>
      <c r="F27" s="10" t="str">
        <f t="shared" si="5"/>
        <v/>
      </c>
    </row>
    <row r="28" ht="15.75" customHeight="1">
      <c r="A28" s="6" t="s">
        <v>71</v>
      </c>
      <c r="B28" s="7" t="s">
        <v>72</v>
      </c>
      <c r="C28" s="6"/>
      <c r="D28" s="6"/>
      <c r="E28" s="6"/>
      <c r="F28" s="6"/>
    </row>
    <row r="29" ht="15.75" customHeight="1">
      <c r="A29" s="8" t="s">
        <v>73</v>
      </c>
      <c r="B29" s="9" t="s">
        <v>74</v>
      </c>
      <c r="C29" s="8" t="s">
        <v>75</v>
      </c>
      <c r="D29" s="13"/>
      <c r="E29" s="13"/>
      <c r="F29" s="10" t="str">
        <f t="shared" ref="F29:F33" si="6">IF(AND(D29&lt;&gt;"",E29&lt;&gt;""),E29/D29,"")</f>
        <v/>
      </c>
    </row>
    <row r="30" ht="15.75" customHeight="1">
      <c r="A30" s="8" t="s">
        <v>76</v>
      </c>
      <c r="B30" s="9" t="s">
        <v>77</v>
      </c>
      <c r="C30" s="8" t="s">
        <v>78</v>
      </c>
      <c r="D30" s="13"/>
      <c r="E30" s="13"/>
      <c r="F30" s="10" t="str">
        <f t="shared" si="6"/>
        <v/>
      </c>
    </row>
    <row r="31" ht="15.75" customHeight="1">
      <c r="A31" s="8" t="s">
        <v>79</v>
      </c>
      <c r="B31" s="9" t="s">
        <v>80</v>
      </c>
      <c r="C31" s="8" t="s">
        <v>81</v>
      </c>
      <c r="D31" s="13"/>
      <c r="E31" s="13"/>
      <c r="F31" s="10" t="str">
        <f t="shared" si="6"/>
        <v/>
      </c>
    </row>
    <row r="32" ht="15.75" customHeight="1">
      <c r="A32" s="8" t="s">
        <v>82</v>
      </c>
      <c r="B32" s="9" t="s">
        <v>83</v>
      </c>
      <c r="C32" s="8" t="s">
        <v>84</v>
      </c>
      <c r="D32" s="13"/>
      <c r="E32" s="13"/>
      <c r="F32" s="10" t="str">
        <f t="shared" si="6"/>
        <v/>
      </c>
    </row>
    <row r="33" ht="15.75" customHeight="1">
      <c r="A33" s="8" t="s">
        <v>85</v>
      </c>
      <c r="B33" s="9" t="s">
        <v>86</v>
      </c>
      <c r="C33" s="8" t="s">
        <v>87</v>
      </c>
      <c r="D33" s="13"/>
      <c r="E33" s="13"/>
      <c r="F33" s="10" t="str">
        <f t="shared" si="6"/>
        <v/>
      </c>
    </row>
    <row r="34" ht="15.75" customHeight="1">
      <c r="A34" s="4" t="s">
        <v>88</v>
      </c>
      <c r="B34" s="5" t="s">
        <v>89</v>
      </c>
      <c r="C34" s="4"/>
      <c r="D34" s="4"/>
      <c r="E34" s="4"/>
      <c r="F34" s="4"/>
    </row>
    <row r="35" ht="15.75" customHeight="1">
      <c r="A35" s="6" t="s">
        <v>90</v>
      </c>
      <c r="B35" s="7" t="s">
        <v>91</v>
      </c>
      <c r="C35" s="6"/>
      <c r="D35" s="6"/>
      <c r="E35" s="6"/>
      <c r="F35" s="6"/>
    </row>
    <row r="36" ht="15.75" customHeight="1">
      <c r="A36" s="8" t="s">
        <v>92</v>
      </c>
      <c r="B36" s="9" t="s">
        <v>93</v>
      </c>
      <c r="C36" s="8" t="s">
        <v>94</v>
      </c>
      <c r="D36" s="13"/>
      <c r="E36" s="13"/>
      <c r="F36" s="10" t="str">
        <f t="shared" ref="F36:F39" si="7">IF(AND(D36&lt;&gt;"",E36&lt;&gt;""),E36/D36,"")</f>
        <v/>
      </c>
    </row>
    <row r="37" ht="15.75" customHeight="1">
      <c r="A37" s="8" t="s">
        <v>95</v>
      </c>
      <c r="B37" s="9" t="s">
        <v>96</v>
      </c>
      <c r="C37" s="8" t="s">
        <v>97</v>
      </c>
      <c r="D37" s="13"/>
      <c r="E37" s="13"/>
      <c r="F37" s="10" t="str">
        <f t="shared" si="7"/>
        <v/>
      </c>
    </row>
    <row r="38" ht="15.75" customHeight="1">
      <c r="A38" s="8" t="s">
        <v>98</v>
      </c>
      <c r="B38" s="9" t="s">
        <v>99</v>
      </c>
      <c r="C38" s="8" t="s">
        <v>100</v>
      </c>
      <c r="D38" s="13"/>
      <c r="E38" s="13"/>
      <c r="F38" s="10" t="str">
        <f t="shared" si="7"/>
        <v/>
      </c>
    </row>
    <row r="39" ht="15.75" customHeight="1">
      <c r="A39" s="8" t="s">
        <v>101</v>
      </c>
      <c r="B39" s="9" t="s">
        <v>102</v>
      </c>
      <c r="C39" s="8" t="s">
        <v>103</v>
      </c>
      <c r="D39" s="13"/>
      <c r="E39" s="13"/>
      <c r="F39" s="10" t="str">
        <f t="shared" si="7"/>
        <v/>
      </c>
    </row>
    <row r="40" ht="15.75" customHeight="1">
      <c r="A40" s="4" t="s">
        <v>104</v>
      </c>
      <c r="B40" s="5" t="s">
        <v>105</v>
      </c>
      <c r="C40" s="4"/>
      <c r="D40" s="4"/>
      <c r="E40" s="4"/>
      <c r="F40" s="4"/>
    </row>
    <row r="41" ht="15.75" customHeight="1">
      <c r="A41" s="6" t="s">
        <v>106</v>
      </c>
      <c r="B41" s="7" t="s">
        <v>107</v>
      </c>
      <c r="C41" s="6"/>
      <c r="D41" s="6"/>
      <c r="E41" s="6"/>
      <c r="F41" s="6"/>
    </row>
    <row r="42" ht="15.75" customHeight="1">
      <c r="A42" s="8" t="s">
        <v>108</v>
      </c>
      <c r="B42" s="9" t="s">
        <v>109</v>
      </c>
      <c r="C42" s="8" t="s">
        <v>110</v>
      </c>
      <c r="D42" s="13"/>
      <c r="E42" s="13"/>
      <c r="F42" s="10" t="str">
        <f t="shared" ref="F42:F43" si="8">IF(AND(D42&lt;&gt;"",E42&lt;&gt;""),E42/D42,"")</f>
        <v/>
      </c>
    </row>
    <row r="43" ht="15.75" customHeight="1">
      <c r="A43" s="8" t="s">
        <v>111</v>
      </c>
      <c r="B43" s="9" t="s">
        <v>112</v>
      </c>
      <c r="C43" s="8" t="s">
        <v>113</v>
      </c>
      <c r="D43" s="13"/>
      <c r="E43" s="13"/>
      <c r="F43" s="10" t="str">
        <f t="shared" si="8"/>
        <v/>
      </c>
    </row>
    <row r="44" ht="15.75" customHeight="1">
      <c r="A44" s="6" t="s">
        <v>114</v>
      </c>
      <c r="B44" s="7" t="s">
        <v>115</v>
      </c>
      <c r="C44" s="6"/>
      <c r="D44" s="6"/>
      <c r="E44" s="6"/>
      <c r="F44" s="6"/>
    </row>
    <row r="45" ht="15.75" customHeight="1">
      <c r="A45" s="8" t="s">
        <v>116</v>
      </c>
      <c r="B45" s="9" t="s">
        <v>117</v>
      </c>
      <c r="C45" s="8" t="s">
        <v>118</v>
      </c>
      <c r="D45" s="13"/>
      <c r="E45" s="13"/>
      <c r="F45" s="10" t="str">
        <f t="shared" ref="F45:F46" si="9">IF(AND(D45&lt;&gt;"",E45&lt;&gt;""),E45/D45,"")</f>
        <v/>
      </c>
    </row>
    <row r="46" ht="15.75" customHeight="1">
      <c r="A46" s="8" t="s">
        <v>119</v>
      </c>
      <c r="B46" s="9" t="s">
        <v>120</v>
      </c>
      <c r="C46" s="8" t="s">
        <v>121</v>
      </c>
      <c r="D46" s="13"/>
      <c r="E46" s="13"/>
      <c r="F46" s="10" t="str">
        <f t="shared" si="9"/>
        <v/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45.0"/>
    <col customWidth="1" min="3" max="3" width="8.0"/>
    <col customWidth="1" min="4" max="4" width="20.0"/>
    <col customWidth="1" min="5" max="5" width="22.0"/>
    <col customWidth="1" min="6" max="6" width="20.0"/>
    <col customWidth="1" min="7" max="26" width="8.71"/>
  </cols>
  <sheetData>
    <row r="1">
      <c r="A1" s="1" t="s">
        <v>135</v>
      </c>
    </row>
    <row r="2" ht="30.0" customHeight="1">
      <c r="A2" s="2" t="s">
        <v>123</v>
      </c>
    </row>
    <row r="3">
      <c r="A3" s="3" t="s">
        <v>2</v>
      </c>
      <c r="B3" s="3" t="s">
        <v>3</v>
      </c>
      <c r="C3" s="3" t="s">
        <v>4</v>
      </c>
      <c r="D3" s="3" t="s">
        <v>124</v>
      </c>
      <c r="E3" s="3" t="s">
        <v>125</v>
      </c>
      <c r="F3" s="3" t="s">
        <v>126</v>
      </c>
    </row>
    <row r="4">
      <c r="A4" s="4" t="s">
        <v>7</v>
      </c>
      <c r="B4" s="5" t="s">
        <v>8</v>
      </c>
      <c r="C4" s="4"/>
      <c r="D4" s="4"/>
      <c r="E4" s="4"/>
      <c r="F4" s="4"/>
    </row>
    <row r="5">
      <c r="A5" s="6" t="s">
        <v>9</v>
      </c>
      <c r="B5" s="7" t="s">
        <v>10</v>
      </c>
      <c r="C5" s="6"/>
      <c r="D5" s="6"/>
      <c r="E5" s="6"/>
      <c r="F5" s="6"/>
    </row>
    <row r="6">
      <c r="A6" s="8" t="s">
        <v>11</v>
      </c>
      <c r="B6" s="9" t="s">
        <v>12</v>
      </c>
      <c r="C6" s="8" t="s">
        <v>13</v>
      </c>
      <c r="D6" s="13"/>
      <c r="E6" s="13"/>
      <c r="F6" s="10" t="str">
        <f t="shared" ref="F6:F9" si="1">IF(AND(D6&lt;&gt;"",E6&lt;&gt;""),E6/D6,"")</f>
        <v/>
      </c>
    </row>
    <row r="7">
      <c r="A7" s="8" t="s">
        <v>14</v>
      </c>
      <c r="B7" s="9" t="s">
        <v>15</v>
      </c>
      <c r="C7" s="8" t="s">
        <v>16</v>
      </c>
      <c r="D7" s="13"/>
      <c r="E7" s="13"/>
      <c r="F7" s="10" t="str">
        <f t="shared" si="1"/>
        <v/>
      </c>
    </row>
    <row r="8">
      <c r="A8" s="8" t="s">
        <v>17</v>
      </c>
      <c r="B8" s="9" t="s">
        <v>18</v>
      </c>
      <c r="C8" s="8" t="s">
        <v>19</v>
      </c>
      <c r="D8" s="13"/>
      <c r="E8" s="13"/>
      <c r="F8" s="10" t="str">
        <f t="shared" si="1"/>
        <v/>
      </c>
    </row>
    <row r="9">
      <c r="A9" s="8" t="s">
        <v>20</v>
      </c>
      <c r="B9" s="9" t="s">
        <v>21</v>
      </c>
      <c r="C9" s="8" t="s">
        <v>22</v>
      </c>
      <c r="D9" s="13"/>
      <c r="E9" s="13"/>
      <c r="F9" s="10" t="str">
        <f t="shared" si="1"/>
        <v/>
      </c>
    </row>
    <row r="10">
      <c r="A10" s="6" t="s">
        <v>23</v>
      </c>
      <c r="B10" s="7" t="s">
        <v>24</v>
      </c>
      <c r="C10" s="6"/>
      <c r="D10" s="6"/>
      <c r="E10" s="6"/>
      <c r="F10" s="6"/>
    </row>
    <row r="11">
      <c r="A11" s="8" t="s">
        <v>25</v>
      </c>
      <c r="B11" s="9" t="s">
        <v>26</v>
      </c>
      <c r="C11" s="8" t="s">
        <v>27</v>
      </c>
      <c r="D11" s="13"/>
      <c r="E11" s="13"/>
      <c r="F11" s="10" t="str">
        <f t="shared" ref="F11:F13" si="2">IF(AND(D11&lt;&gt;"",E11&lt;&gt;""),E11/D11,"")</f>
        <v/>
      </c>
    </row>
    <row r="12">
      <c r="A12" s="8" t="s">
        <v>28</v>
      </c>
      <c r="B12" s="9" t="s">
        <v>29</v>
      </c>
      <c r="C12" s="8" t="s">
        <v>30</v>
      </c>
      <c r="D12" s="13"/>
      <c r="E12" s="13"/>
      <c r="F12" s="10" t="str">
        <f t="shared" si="2"/>
        <v/>
      </c>
    </row>
    <row r="13">
      <c r="A13" s="8" t="s">
        <v>31</v>
      </c>
      <c r="B13" s="9" t="s">
        <v>32</v>
      </c>
      <c r="C13" s="8" t="s">
        <v>33</v>
      </c>
      <c r="D13" s="13"/>
      <c r="E13" s="13"/>
      <c r="F13" s="10" t="str">
        <f t="shared" si="2"/>
        <v/>
      </c>
    </row>
    <row r="14">
      <c r="A14" s="4" t="s">
        <v>34</v>
      </c>
      <c r="B14" s="5" t="s">
        <v>35</v>
      </c>
      <c r="C14" s="4"/>
      <c r="D14" s="4"/>
      <c r="E14" s="4"/>
      <c r="F14" s="4"/>
    </row>
    <row r="15">
      <c r="A15" s="6" t="s">
        <v>36</v>
      </c>
      <c r="B15" s="7" t="s">
        <v>37</v>
      </c>
      <c r="C15" s="6"/>
      <c r="D15" s="6"/>
      <c r="E15" s="6"/>
      <c r="F15" s="6"/>
    </row>
    <row r="16">
      <c r="A16" s="8" t="s">
        <v>38</v>
      </c>
      <c r="B16" s="9" t="s">
        <v>39</v>
      </c>
      <c r="C16" s="8" t="s">
        <v>40</v>
      </c>
      <c r="D16" s="13"/>
      <c r="E16" s="13"/>
      <c r="F16" s="10" t="str">
        <f t="shared" ref="F16:F18" si="3">IF(AND(D16&lt;&gt;"",E16&lt;&gt;""),E16/D16,"")</f>
        <v/>
      </c>
    </row>
    <row r="17">
      <c r="A17" s="8" t="s">
        <v>41</v>
      </c>
      <c r="B17" s="9" t="s">
        <v>42</v>
      </c>
      <c r="C17" s="8" t="s">
        <v>43</v>
      </c>
      <c r="D17" s="13"/>
      <c r="E17" s="13"/>
      <c r="F17" s="10" t="str">
        <f t="shared" si="3"/>
        <v/>
      </c>
    </row>
    <row r="18">
      <c r="A18" s="8" t="s">
        <v>44</v>
      </c>
      <c r="B18" s="9" t="s">
        <v>45</v>
      </c>
      <c r="C18" s="8" t="s">
        <v>46</v>
      </c>
      <c r="D18" s="13"/>
      <c r="E18" s="13"/>
      <c r="F18" s="10" t="str">
        <f t="shared" si="3"/>
        <v/>
      </c>
    </row>
    <row r="19">
      <c r="A19" s="6" t="s">
        <v>47</v>
      </c>
      <c r="B19" s="7" t="s">
        <v>48</v>
      </c>
      <c r="C19" s="6"/>
      <c r="D19" s="6"/>
      <c r="E19" s="6"/>
      <c r="F19" s="6"/>
    </row>
    <row r="20">
      <c r="A20" s="8" t="s">
        <v>49</v>
      </c>
      <c r="B20" s="9" t="s">
        <v>50</v>
      </c>
      <c r="C20" s="8" t="s">
        <v>51</v>
      </c>
      <c r="D20" s="13"/>
      <c r="E20" s="13"/>
      <c r="F20" s="10" t="str">
        <f t="shared" ref="F20:F21" si="4">IF(AND(D20&lt;&gt;"",E20&lt;&gt;""),E20/D20,"")</f>
        <v/>
      </c>
    </row>
    <row r="21" ht="15.75" customHeight="1">
      <c r="A21" s="8" t="s">
        <v>52</v>
      </c>
      <c r="B21" s="9" t="s">
        <v>53</v>
      </c>
      <c r="C21" s="8" t="s">
        <v>54</v>
      </c>
      <c r="D21" s="13"/>
      <c r="E21" s="13"/>
      <c r="F21" s="10" t="str">
        <f t="shared" si="4"/>
        <v/>
      </c>
    </row>
    <row r="22" ht="15.75" customHeight="1">
      <c r="A22" s="4" t="s">
        <v>55</v>
      </c>
      <c r="B22" s="5" t="s">
        <v>56</v>
      </c>
      <c r="C22" s="4"/>
      <c r="D22" s="4"/>
      <c r="E22" s="4"/>
      <c r="F22" s="4"/>
    </row>
    <row r="23" ht="15.75" customHeight="1">
      <c r="A23" s="6" t="s">
        <v>57</v>
      </c>
      <c r="B23" s="7" t="s">
        <v>58</v>
      </c>
      <c r="C23" s="6"/>
      <c r="D23" s="6"/>
      <c r="E23" s="6"/>
      <c r="F23" s="6"/>
    </row>
    <row r="24" ht="15.75" customHeight="1">
      <c r="A24" s="8" t="s">
        <v>59</v>
      </c>
      <c r="B24" s="9" t="s">
        <v>60</v>
      </c>
      <c r="C24" s="8" t="s">
        <v>61</v>
      </c>
      <c r="D24" s="13"/>
      <c r="E24" s="13"/>
      <c r="F24" s="10" t="str">
        <f t="shared" ref="F24:F27" si="5">IF(AND(D24&lt;&gt;"",E24&lt;&gt;""),E24/D24,"")</f>
        <v/>
      </c>
    </row>
    <row r="25" ht="15.75" customHeight="1">
      <c r="A25" s="8" t="s">
        <v>62</v>
      </c>
      <c r="B25" s="9" t="s">
        <v>63</v>
      </c>
      <c r="C25" s="8" t="s">
        <v>64</v>
      </c>
      <c r="D25" s="13"/>
      <c r="E25" s="13"/>
      <c r="F25" s="10" t="str">
        <f t="shared" si="5"/>
        <v/>
      </c>
    </row>
    <row r="26" ht="15.75" customHeight="1">
      <c r="A26" s="8" t="s">
        <v>65</v>
      </c>
      <c r="B26" s="9" t="s">
        <v>66</v>
      </c>
      <c r="C26" s="8" t="s">
        <v>67</v>
      </c>
      <c r="D26" s="13"/>
      <c r="E26" s="13"/>
      <c r="F26" s="10" t="str">
        <f t="shared" si="5"/>
        <v/>
      </c>
    </row>
    <row r="27" ht="15.75" customHeight="1">
      <c r="A27" s="8" t="s">
        <v>68</v>
      </c>
      <c r="B27" s="9" t="s">
        <v>69</v>
      </c>
      <c r="C27" s="8" t="s">
        <v>70</v>
      </c>
      <c r="D27" s="13"/>
      <c r="E27" s="13"/>
      <c r="F27" s="10" t="str">
        <f t="shared" si="5"/>
        <v/>
      </c>
    </row>
    <row r="28" ht="15.75" customHeight="1">
      <c r="A28" s="6" t="s">
        <v>71</v>
      </c>
      <c r="B28" s="7" t="s">
        <v>72</v>
      </c>
      <c r="C28" s="6"/>
      <c r="D28" s="6"/>
      <c r="E28" s="6"/>
      <c r="F28" s="6"/>
    </row>
    <row r="29" ht="15.75" customHeight="1">
      <c r="A29" s="8" t="s">
        <v>73</v>
      </c>
      <c r="B29" s="9" t="s">
        <v>74</v>
      </c>
      <c r="C29" s="8" t="s">
        <v>75</v>
      </c>
      <c r="D29" s="13"/>
      <c r="E29" s="13"/>
      <c r="F29" s="10" t="str">
        <f t="shared" ref="F29:F33" si="6">IF(AND(D29&lt;&gt;"",E29&lt;&gt;""),E29/D29,"")</f>
        <v/>
      </c>
    </row>
    <row r="30" ht="15.75" customHeight="1">
      <c r="A30" s="8" t="s">
        <v>76</v>
      </c>
      <c r="B30" s="9" t="s">
        <v>77</v>
      </c>
      <c r="C30" s="8" t="s">
        <v>78</v>
      </c>
      <c r="D30" s="13"/>
      <c r="E30" s="13"/>
      <c r="F30" s="10" t="str">
        <f t="shared" si="6"/>
        <v/>
      </c>
    </row>
    <row r="31" ht="15.75" customHeight="1">
      <c r="A31" s="8" t="s">
        <v>79</v>
      </c>
      <c r="B31" s="9" t="s">
        <v>80</v>
      </c>
      <c r="C31" s="8" t="s">
        <v>81</v>
      </c>
      <c r="D31" s="13"/>
      <c r="E31" s="13"/>
      <c r="F31" s="10" t="str">
        <f t="shared" si="6"/>
        <v/>
      </c>
    </row>
    <row r="32" ht="15.75" customHeight="1">
      <c r="A32" s="8" t="s">
        <v>82</v>
      </c>
      <c r="B32" s="9" t="s">
        <v>83</v>
      </c>
      <c r="C32" s="8" t="s">
        <v>84</v>
      </c>
      <c r="D32" s="13"/>
      <c r="E32" s="13"/>
      <c r="F32" s="10" t="str">
        <f t="shared" si="6"/>
        <v/>
      </c>
    </row>
    <row r="33" ht="15.75" customHeight="1">
      <c r="A33" s="8" t="s">
        <v>85</v>
      </c>
      <c r="B33" s="9" t="s">
        <v>86</v>
      </c>
      <c r="C33" s="8" t="s">
        <v>87</v>
      </c>
      <c r="D33" s="13"/>
      <c r="E33" s="13"/>
      <c r="F33" s="10" t="str">
        <f t="shared" si="6"/>
        <v/>
      </c>
    </row>
    <row r="34" ht="15.75" customHeight="1">
      <c r="A34" s="4" t="s">
        <v>88</v>
      </c>
      <c r="B34" s="5" t="s">
        <v>89</v>
      </c>
      <c r="C34" s="4"/>
      <c r="D34" s="4"/>
      <c r="E34" s="4"/>
      <c r="F34" s="4"/>
    </row>
    <row r="35" ht="15.75" customHeight="1">
      <c r="A35" s="6" t="s">
        <v>90</v>
      </c>
      <c r="B35" s="7" t="s">
        <v>91</v>
      </c>
      <c r="C35" s="6"/>
      <c r="D35" s="6"/>
      <c r="E35" s="6"/>
      <c r="F35" s="6"/>
    </row>
    <row r="36" ht="15.75" customHeight="1">
      <c r="A36" s="8" t="s">
        <v>92</v>
      </c>
      <c r="B36" s="9" t="s">
        <v>93</v>
      </c>
      <c r="C36" s="8" t="s">
        <v>94</v>
      </c>
      <c r="D36" s="13"/>
      <c r="E36" s="13"/>
      <c r="F36" s="10" t="str">
        <f t="shared" ref="F36:F39" si="7">IF(AND(D36&lt;&gt;"",E36&lt;&gt;""),E36/D36,"")</f>
        <v/>
      </c>
    </row>
    <row r="37" ht="15.75" customHeight="1">
      <c r="A37" s="8" t="s">
        <v>95</v>
      </c>
      <c r="B37" s="9" t="s">
        <v>96</v>
      </c>
      <c r="C37" s="8" t="s">
        <v>97</v>
      </c>
      <c r="D37" s="13"/>
      <c r="E37" s="13"/>
      <c r="F37" s="10" t="str">
        <f t="shared" si="7"/>
        <v/>
      </c>
    </row>
    <row r="38" ht="15.75" customHeight="1">
      <c r="A38" s="8" t="s">
        <v>98</v>
      </c>
      <c r="B38" s="9" t="s">
        <v>99</v>
      </c>
      <c r="C38" s="8" t="s">
        <v>100</v>
      </c>
      <c r="D38" s="13"/>
      <c r="E38" s="13"/>
      <c r="F38" s="10" t="str">
        <f t="shared" si="7"/>
        <v/>
      </c>
    </row>
    <row r="39" ht="15.75" customHeight="1">
      <c r="A39" s="8" t="s">
        <v>101</v>
      </c>
      <c r="B39" s="9" t="s">
        <v>102</v>
      </c>
      <c r="C39" s="8" t="s">
        <v>103</v>
      </c>
      <c r="D39" s="13"/>
      <c r="E39" s="13"/>
      <c r="F39" s="10" t="str">
        <f t="shared" si="7"/>
        <v/>
      </c>
    </row>
    <row r="40" ht="15.75" customHeight="1">
      <c r="A40" s="4" t="s">
        <v>104</v>
      </c>
      <c r="B40" s="5" t="s">
        <v>105</v>
      </c>
      <c r="C40" s="4"/>
      <c r="D40" s="4"/>
      <c r="E40" s="4"/>
      <c r="F40" s="4"/>
    </row>
    <row r="41" ht="15.75" customHeight="1">
      <c r="A41" s="6" t="s">
        <v>106</v>
      </c>
      <c r="B41" s="7" t="s">
        <v>107</v>
      </c>
      <c r="C41" s="6"/>
      <c r="D41" s="6"/>
      <c r="E41" s="6"/>
      <c r="F41" s="6"/>
    </row>
    <row r="42" ht="15.75" customHeight="1">
      <c r="A42" s="8" t="s">
        <v>108</v>
      </c>
      <c r="B42" s="9" t="s">
        <v>109</v>
      </c>
      <c r="C42" s="8" t="s">
        <v>110</v>
      </c>
      <c r="D42" s="13"/>
      <c r="E42" s="13"/>
      <c r="F42" s="10" t="str">
        <f t="shared" ref="F42:F43" si="8">IF(AND(D42&lt;&gt;"",E42&lt;&gt;""),E42/D42,"")</f>
        <v/>
      </c>
    </row>
    <row r="43" ht="15.75" customHeight="1">
      <c r="A43" s="8" t="s">
        <v>111</v>
      </c>
      <c r="B43" s="9" t="s">
        <v>112</v>
      </c>
      <c r="C43" s="8" t="s">
        <v>113</v>
      </c>
      <c r="D43" s="13"/>
      <c r="E43" s="13"/>
      <c r="F43" s="10" t="str">
        <f t="shared" si="8"/>
        <v/>
      </c>
    </row>
    <row r="44" ht="15.75" customHeight="1">
      <c r="A44" s="6" t="s">
        <v>114</v>
      </c>
      <c r="B44" s="7" t="s">
        <v>115</v>
      </c>
      <c r="C44" s="6"/>
      <c r="D44" s="6"/>
      <c r="E44" s="6"/>
      <c r="F44" s="6"/>
    </row>
    <row r="45" ht="15.75" customHeight="1">
      <c r="A45" s="8" t="s">
        <v>116</v>
      </c>
      <c r="B45" s="9" t="s">
        <v>117</v>
      </c>
      <c r="C45" s="8" t="s">
        <v>118</v>
      </c>
      <c r="D45" s="13"/>
      <c r="E45" s="13"/>
      <c r="F45" s="10" t="str">
        <f t="shared" ref="F45:F46" si="9">IF(AND(D45&lt;&gt;"",E45&lt;&gt;""),E45/D45,"")</f>
        <v/>
      </c>
    </row>
    <row r="46" ht="15.75" customHeight="1">
      <c r="A46" s="8" t="s">
        <v>119</v>
      </c>
      <c r="B46" s="9" t="s">
        <v>120</v>
      </c>
      <c r="C46" s="8" t="s">
        <v>121</v>
      </c>
      <c r="D46" s="13"/>
      <c r="E46" s="13"/>
      <c r="F46" s="10" t="str">
        <f t="shared" si="9"/>
        <v/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2026-04-05T02:40:09Z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